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usha\Downloads\archive (1)\"/>
    </mc:Choice>
  </mc:AlternateContent>
  <xr:revisionPtr revIDLastSave="0" documentId="8_{2A50D185-5D71-4511-BF4B-7ECA1355F882}" xr6:coauthVersionLast="47" xr6:coauthVersionMax="47" xr10:uidLastSave="{00000000-0000-0000-0000-000000000000}"/>
  <bookViews>
    <workbookView xWindow="-108" yWindow="-108" windowWidth="23256" windowHeight="12456"/>
  </bookViews>
  <sheets>
    <sheet name="lamborghini_sales_2020_2025" sheetId="1" r:id="rId1"/>
    <sheet name="pivot1" sheetId="2" r:id="rId2"/>
    <sheet name="pivot2" sheetId="5" r:id="rId3"/>
    <sheet name="pivot3" sheetId="11" r:id="rId4"/>
    <sheet name="pivot4" sheetId="19" r:id="rId5"/>
    <sheet name="Rpoert" sheetId="4" r:id="rId6"/>
  </sheets>
  <definedNames>
    <definedName name="Slicer_Year1">#N/A</definedName>
  </definedNames>
  <calcPr calcId="0"/>
  <pivotCaches>
    <pivotCache cacheId="124" r:id="rId7"/>
    <pivotCache cacheId="13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2" i="1"/>
</calcChain>
</file>

<file path=xl/sharedStrings.xml><?xml version="1.0" encoding="utf-8"?>
<sst xmlns="http://schemas.openxmlformats.org/spreadsheetml/2006/main" count="249" uniqueCount="36">
  <si>
    <t>Model</t>
  </si>
  <si>
    <t>Year</t>
  </si>
  <si>
    <t>Region</t>
  </si>
  <si>
    <t>Color</t>
  </si>
  <si>
    <t>Fuel Type</t>
  </si>
  <si>
    <t>Urus</t>
  </si>
  <si>
    <t>EMEA</t>
  </si>
  <si>
    <t>Black</t>
  </si>
  <si>
    <t>Gasoline</t>
  </si>
  <si>
    <t>Americas</t>
  </si>
  <si>
    <t>White</t>
  </si>
  <si>
    <t>APAC</t>
  </si>
  <si>
    <t>Red</t>
  </si>
  <si>
    <t>HuracÃ¡n</t>
  </si>
  <si>
    <t>Yellow</t>
  </si>
  <si>
    <t>Orange</t>
  </si>
  <si>
    <t>Aventador</t>
  </si>
  <si>
    <t>Silver</t>
  </si>
  <si>
    <t>Revuelto</t>
  </si>
  <si>
    <t>Blue</t>
  </si>
  <si>
    <t>Hybrid</t>
  </si>
  <si>
    <t>Green</t>
  </si>
  <si>
    <t>Urus SE</t>
  </si>
  <si>
    <t>HuracÃ¡n (Temerario)</t>
  </si>
  <si>
    <t>Grey</t>
  </si>
  <si>
    <t>Row Labels</t>
  </si>
  <si>
    <t>Grand Total</t>
  </si>
  <si>
    <t>price(USD)</t>
  </si>
  <si>
    <t>Unit(sales)</t>
  </si>
  <si>
    <t>Sum of Unit(sales)</t>
  </si>
  <si>
    <t>Lamborghini Report</t>
  </si>
  <si>
    <t>Region Sales (%)</t>
  </si>
  <si>
    <t>Revenue(USD)</t>
  </si>
  <si>
    <t>Sum of Revenue(USD)</t>
  </si>
  <si>
    <t xml:space="preserve"> revenue BY MODEL</t>
  </si>
  <si>
    <t>yearly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</si>
</sst>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7" formatCode="_-[$$-409]* #,##0.00_ ;_-[$$-409]* \-#,##0.00\ ;_-[$$-409]* &quot;-&quot;??_ ;_-@_ "/>
    <numFmt numFmtId="168" formatCode="0.00,,\ &quot;M&quot;"/>
    <numFmt numFmtId="169" formatCode="0.00,,,\ &quot;B&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xf>
    <xf numFmtId="0" fontId="0" fillId="33" borderId="0" xfId="0" applyFill="1" applyAlignment="1">
      <alignment horizontal="center"/>
    </xf>
    <xf numFmtId="167" fontId="0" fillId="0" borderId="0" xfId="0" applyNumberFormat="1"/>
    <xf numFmtId="168" fontId="0" fillId="0" borderId="0" xfId="0" applyNumberFormat="1"/>
    <xf numFmtId="169"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7">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7" formatCode="_-[$$-409]* #,##0.00_ ;_-[$$-409]* \-#,##0.00\ ;_-[$$-409]* &quot;-&quot;??_ ;_-@_ "/>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
      <numFmt numFmtId="169" formatCode="0.00,,,\ &quot;B&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[lamborghini_sales..xlsx]pivot1!PivotTable1</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Year Sales</a:t>
            </a:r>
          </a:p>
        </c:rich>
      </c:tx>
      <c:layout>
        <c:manualLayout>
          <c:xMode val="edge"/>
          <c:yMode val="edge"/>
          <c:x val="0.39185075823855353"/>
          <c:y val="8.572433539851405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37361330742343E-2"/>
          <c:y val="0.20848040788024874"/>
          <c:w val="0.88738626421697286"/>
          <c:h val="0.67809651419282391"/>
        </c:manualLayout>
      </c:layout>
      <c:barChart>
        <c:barDir val="col"/>
        <c:grouping val="clustered"/>
        <c:varyColors val="0"/>
        <c:ser>
          <c:idx val="0"/>
          <c:order val="0"/>
          <c:tx>
            <c:strRef>
              <c:f>pivot1!$B$3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pivot1!$A$4:$A$9</c:f>
              <c:strCache>
                <c:ptCount val="6"/>
                <c:pt idx="0">
                  <c:v>2020</c:v>
                </c:pt>
                <c:pt idx="1">
                  <c:v>2021</c:v>
                </c:pt>
                <c:pt idx="2">
                  <c:v>2022</c:v>
                </c:pt>
                <c:pt idx="3">
                  <c:v>2023</c:v>
                </c:pt>
                <c:pt idx="4">
                  <c:v>2024</c:v>
                </c:pt>
                <c:pt idx="5">
                  <c:v>2025</c:v>
                </c:pt>
              </c:strCache>
            </c:strRef>
          </c:cat>
          <c:val>
            <c:numRef>
              <c:f>pivot1!$B$4:$B$9</c:f>
              <c:numCache>
                <c:formatCode>General</c:formatCode>
                <c:ptCount val="6"/>
                <c:pt idx="0">
                  <c:v>20250</c:v>
                </c:pt>
                <c:pt idx="1">
                  <c:v>21925</c:v>
                </c:pt>
                <c:pt idx="2">
                  <c:v>24243</c:v>
                </c:pt>
                <c:pt idx="3">
                  <c:v>25838</c:v>
                </c:pt>
                <c:pt idx="4">
                  <c:v>27918</c:v>
                </c:pt>
                <c:pt idx="5">
                  <c:v>21200</c:v>
                </c:pt>
              </c:numCache>
            </c:numRef>
          </c:val>
          <c:extLst>
            <c:ext xmlns:c16="http://schemas.microsoft.com/office/drawing/2014/chart" uri="{C3380CC4-5D6E-409C-BE32-E72D297353CC}">
              <c16:uniqueId val="{00000000-4760-46ED-B7B3-A6FBDB3C209D}"/>
            </c:ext>
          </c:extLst>
        </c:ser>
        <c:dLbls>
          <c:dLblPos val="inEnd"/>
          <c:showLegendKey val="0"/>
          <c:showVal val="1"/>
          <c:showCatName val="0"/>
          <c:showSerName val="0"/>
          <c:showPercent val="0"/>
          <c:showBubbleSize val="0"/>
        </c:dLbls>
        <c:gapWidth val="100"/>
        <c:overlap val="-24"/>
        <c:axId val="1444736079"/>
        <c:axId val="1444758543"/>
      </c:barChart>
      <c:catAx>
        <c:axId val="14447360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4758543"/>
        <c:crosses val="autoZero"/>
        <c:auto val="1"/>
        <c:lblAlgn val="ctr"/>
        <c:lblOffset val="100"/>
        <c:noMultiLvlLbl val="0"/>
      </c:catAx>
      <c:valAx>
        <c:axId val="14447585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473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[lamborghini_sales..xlsx]pivot3!PivotTable7</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Revenue(Model)</a:t>
            </a:r>
          </a:p>
        </c:rich>
      </c:tx>
      <c:layout>
        <c:manualLayout>
          <c:xMode val="edge"/>
          <c:yMode val="edge"/>
          <c:x val="0.24749283667621777"/>
          <c:y val="3.060183201361259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01226065923287"/>
          <c:y val="0.19061982209687611"/>
          <c:w val="0.73783602668479475"/>
          <c:h val="0.71216759588012368"/>
        </c:manualLayout>
      </c:layout>
      <c:barChart>
        <c:barDir val="bar"/>
        <c:grouping val="clustered"/>
        <c:varyColors val="0"/>
        <c:ser>
          <c:idx val="0"/>
          <c:order val="0"/>
          <c:tx>
            <c:strRef>
              <c:f>pivot3!$B$3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pivot3!$A$4:$A$10</c:f>
              <c:strCache>
                <c:ptCount val="6"/>
                <c:pt idx="0">
                  <c:v>HuracÃ¡n (Temerario)</c:v>
                </c:pt>
                <c:pt idx="1">
                  <c:v>Aventador</c:v>
                </c:pt>
                <c:pt idx="2">
                  <c:v>Revuelto</c:v>
                </c:pt>
                <c:pt idx="3">
                  <c:v>Urus SE</c:v>
                </c:pt>
                <c:pt idx="4">
                  <c:v>HuracÃ¡n</c:v>
                </c:pt>
                <c:pt idx="5">
                  <c:v>Urus</c:v>
                </c:pt>
              </c:strCache>
            </c:strRef>
          </c:cat>
          <c:val>
            <c:numRef>
              <c:f>pivot3!$B$4:$B$10</c:f>
              <c:numCache>
                <c:formatCode>0.00,,,\ "B"</c:formatCode>
                <c:ptCount val="6"/>
                <c:pt idx="0">
                  <c:v>1482750000</c:v>
                </c:pt>
                <c:pt idx="1">
                  <c:v>3380955000</c:v>
                </c:pt>
                <c:pt idx="2">
                  <c:v>4827000000</c:v>
                </c:pt>
                <c:pt idx="3">
                  <c:v>8618850000</c:v>
                </c:pt>
                <c:pt idx="4">
                  <c:v>11602560000</c:v>
                </c:pt>
                <c:pt idx="5">
                  <c:v>13277465000</c:v>
                </c:pt>
              </c:numCache>
            </c:numRef>
          </c:val>
          <c:extLst>
            <c:ext xmlns:c16="http://schemas.microsoft.com/office/drawing/2014/chart" uri="{C3380CC4-5D6E-409C-BE32-E72D297353CC}">
              <c16:uniqueId val="{00000000-61A4-4F60-AF31-D8D90C10250D}"/>
            </c:ext>
          </c:extLst>
        </c:ser>
        <c:dLbls>
          <c:dLblPos val="inEnd"/>
          <c:showLegendKey val="0"/>
          <c:showVal val="1"/>
          <c:showCatName val="0"/>
          <c:showSerName val="0"/>
          <c:showPercent val="0"/>
          <c:showBubbleSize val="0"/>
        </c:dLbls>
        <c:gapWidth val="100"/>
        <c:axId val="1628342991"/>
        <c:axId val="1628334671"/>
      </c:barChart>
      <c:catAx>
        <c:axId val="162834299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8334671"/>
        <c:crosses val="autoZero"/>
        <c:auto val="1"/>
        <c:lblAlgn val="ctr"/>
        <c:lblOffset val="100"/>
        <c:noMultiLvlLbl val="0"/>
      </c:catAx>
      <c:valAx>
        <c:axId val="1628334671"/>
        <c:scaling>
          <c:orientation val="minMax"/>
        </c:scaling>
        <c:delete val="0"/>
        <c:axPos val="b"/>
        <c:majorGridlines>
          <c:spPr>
            <a:ln w="9525" cap="flat" cmpd="sng" algn="ctr">
              <a:solidFill>
                <a:schemeClr val="tx2">
                  <a:lumMod val="15000"/>
                  <a:lumOff val="85000"/>
                </a:schemeClr>
              </a:solidFill>
              <a:round/>
            </a:ln>
            <a:effectLst/>
          </c:spPr>
        </c:majorGridlines>
        <c:numFmt formatCode="0.00,,,\ &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8342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[lamborghini_sales..xlsx]pivot2!PivotTable3</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 Sale(%)</a:t>
            </a:r>
          </a:p>
        </c:rich>
      </c:tx>
      <c:layout>
        <c:manualLayout>
          <c:xMode val="edge"/>
          <c:yMode val="edge"/>
          <c:x val="0.20685808064921457"/>
          <c:y val="4.78844832598101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5313670166229221"/>
              <c:y val="5.951808107319918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4363101487314087"/>
              <c:y val="8.693350831146107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5545275590551182E-2"/>
              <c:y val="-0.1657458442694662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5313670166229221"/>
              <c:y val="5.951808107319918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5545275590551182E-2"/>
              <c:y val="-0.1657458442694662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4363101487314087"/>
              <c:y val="8.693350831146107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313670166229221"/>
              <c:y val="5.9518081073199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5545275590551182E-2"/>
              <c:y val="-0.16574584426946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4363101487314087"/>
              <c:y val="8.6933508311461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1355479669832"/>
          <c:y val="0.20301400375703743"/>
          <c:w val="0.38873226005074241"/>
          <c:h val="0.63716915082260461"/>
        </c:manualLayout>
      </c:layout>
      <c:pieChart>
        <c:varyColors val="1"/>
        <c:ser>
          <c:idx val="0"/>
          <c:order val="0"/>
          <c:tx>
            <c:strRef>
              <c:f>pivot2!$B$3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716-40A5-AC09-312D484561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716-40A5-AC09-312D484561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1716-40A5-AC09-312D48456135}"/>
              </c:ext>
            </c:extLst>
          </c:dPt>
          <c:dLbls>
            <c:dLbl>
              <c:idx val="0"/>
              <c:layout>
                <c:manualLayout>
                  <c:x val="-0.15313670166229221"/>
                  <c:y val="5.95180810731991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16-40A5-AC09-312D48456135}"/>
                </c:ext>
              </c:extLst>
            </c:dLbl>
            <c:dLbl>
              <c:idx val="1"/>
              <c:layout>
                <c:manualLayout>
                  <c:x val="1.5545275590551182E-2"/>
                  <c:y val="-0.1657458442694662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16-40A5-AC09-312D48456135}"/>
                </c:ext>
              </c:extLst>
            </c:dLbl>
            <c:dLbl>
              <c:idx val="2"/>
              <c:layout>
                <c:manualLayout>
                  <c:x val="0.14363101487314087"/>
                  <c:y val="8.69335083114610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16-40A5-AC09-312D484561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pivot2!$A$4:$A$6</c:f>
              <c:strCache>
                <c:ptCount val="3"/>
                <c:pt idx="0">
                  <c:v>Americas</c:v>
                </c:pt>
                <c:pt idx="1">
                  <c:v>APAC</c:v>
                </c:pt>
                <c:pt idx="2">
                  <c:v>EMEA</c:v>
                </c:pt>
              </c:strCache>
            </c:strRef>
          </c:cat>
          <c:val>
            <c:numRef>
              <c:f>pivot2!$B$4:$B$6</c:f>
              <c:numCache>
                <c:formatCode>0.00%</c:formatCode>
                <c:ptCount val="3"/>
                <c:pt idx="0">
                  <c:v>0.39372869127279414</c:v>
                </c:pt>
                <c:pt idx="1">
                  <c:v>0.2266541231060874</c:v>
                </c:pt>
                <c:pt idx="2">
                  <c:v>0.37961718562111846</c:v>
                </c:pt>
              </c:numCache>
            </c:numRef>
          </c:val>
          <c:extLst>
            <c:ext xmlns:c16="http://schemas.microsoft.com/office/drawing/2014/chart" uri="{C3380CC4-5D6E-409C-BE32-E72D297353CC}">
              <c16:uniqueId val="{00000006-1716-40A5-AC09-312D4845613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720384951881024"/>
          <c:y val="0.57025371828521443"/>
          <c:w val="0.19612948381452316"/>
          <c:h val="0.33159886264216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[lamborghini_sales..xlsx]pivot4!PivotTable10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(Fuel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24387510936132983"/>
          <c:y val="0.18097222222222226"/>
          <c:w val="0.46641666666666665"/>
          <c:h val="0.77736111111111106"/>
        </c:manualLayout>
      </c:layout>
      <c:doughnutChart>
        <c:varyColors val="1"/>
        <c:ser>
          <c:idx val="0"/>
          <c:order val="0"/>
          <c:tx>
            <c:strRef>
              <c:f>pivot4!$B$3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ED-4D5D-94B7-1AE256F5A6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ED-4D5D-94B7-1AE256F5A686}"/>
              </c:ext>
            </c:extLst>
          </c:dPt>
          <c:cat>
            <c:strRef>
              <c:f>pivot4!$A$4:$A$6</c:f>
              <c:strCache>
                <c:ptCount val="2"/>
                <c:pt idx="0">
                  <c:v>Gasoline</c:v>
                </c:pt>
                <c:pt idx="1">
                  <c:v>Hybrid</c:v>
                </c:pt>
              </c:strCache>
            </c:strRef>
          </c:cat>
          <c:val>
            <c:numRef>
              <c:f>pivot4!$B$4:$B$6</c:f>
              <c:numCache>
                <c:formatCode>General</c:formatCode>
                <c:ptCount val="2"/>
                <c:pt idx="0">
                  <c:v>101756</c:v>
                </c:pt>
                <c:pt idx="1">
                  <c:v>39618</c:v>
                </c:pt>
              </c:numCache>
            </c:numRef>
          </c:val>
          <c:extLst>
            <c:ext xmlns:c16="http://schemas.microsoft.com/office/drawing/2014/chart" uri="{C3380CC4-5D6E-409C-BE32-E72D297353CC}">
              <c16:uniqueId val="{00000004-62ED-4D5D-94B7-1AE256F5A6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449540682414694"/>
          <c:y val="0.6145826042578012"/>
          <c:w val="0.23050459317585301"/>
          <c:h val="0.344908501020705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143934</xdr:colOff>
      <xdr:row>1</xdr:row>
      <xdr:rowOff>141393</xdr:rowOff>
    </xdr:from>
    <xdr:to>
      <xdr:col>8</xdr:col>
      <xdr:colOff>423334</xdr:colOff>
      <xdr:row>15</xdr:row>
      <xdr:rowOff>50800</xdr:rowOff>
    </xdr:to>
    <xdr:graphicFrame macro="">
      <xdr:nvGraphicFramePr>
        <xdr:cNvPr id="2" name="Chart 1">
          <a:extLst>
            <a:ext uri="{FF2B5EF4-FFF2-40B4-BE49-F238E27FC236}">
              <a16:creationId xmlns:a16="http://schemas.microsoft.com/office/drawing/2014/main" id="{901FE39E-142F-421B-BD13-9D14209E4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139696</xdr:colOff>
      <xdr:row>16</xdr:row>
      <xdr:rowOff>841</xdr:rowOff>
    </xdr:from>
    <xdr:to>
      <xdr:col>17</xdr:col>
      <xdr:colOff>410896</xdr:colOff>
      <xdr:row>29</xdr:row>
      <xdr:rowOff>95774</xdr:rowOff>
    </xdr:to>
    <xdr:graphicFrame macro="">
      <xdr:nvGraphicFramePr>
        <xdr:cNvPr id="4" name="Chart 3">
          <a:extLst>
            <a:ext uri="{FF2B5EF4-FFF2-40B4-BE49-F238E27FC236}">
              <a16:creationId xmlns:a16="http://schemas.microsoft.com/office/drawing/2014/main" id="{DBD28360-558E-4058-8BF6-096C6B0AE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122769</xdr:colOff>
      <xdr:row>2</xdr:row>
      <xdr:rowOff>108373</xdr:rowOff>
    </xdr:from>
    <xdr:to>
      <xdr:col>15</xdr:col>
      <xdr:colOff>414867</xdr:colOff>
      <xdr:row>14</xdr:row>
      <xdr:rowOff>101600</xdr:rowOff>
    </xdr:to>
    <xdr:graphicFrame macro="">
      <xdr:nvGraphicFramePr>
        <xdr:cNvPr id="6" name="Chart 5">
          <a:extLst>
            <a:ext uri="{FF2B5EF4-FFF2-40B4-BE49-F238E27FC236}">
              <a16:creationId xmlns:a16="http://schemas.microsoft.com/office/drawing/2014/main" id="{CE12B240-AFC5-4548-8666-FD912CB34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8466</xdr:colOff>
      <xdr:row>17</xdr:row>
      <xdr:rowOff>169339</xdr:rowOff>
    </xdr:from>
    <xdr:to>
      <xdr:col>7</xdr:col>
      <xdr:colOff>592665</xdr:colOff>
      <xdr:row>28</xdr:row>
      <xdr:rowOff>169338</xdr:rowOff>
    </xdr:to>
    <xdr:graphicFrame macro="">
      <xdr:nvGraphicFramePr>
        <xdr:cNvPr id="8" name="Chart 7">
          <a:extLst>
            <a:ext uri="{FF2B5EF4-FFF2-40B4-BE49-F238E27FC236}">
              <a16:creationId xmlns:a16="http://schemas.microsoft.com/office/drawing/2014/main" id="{73FB499D-FEEF-483B-8167-DD09523F6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470746</xdr:colOff>
      <xdr:row>2</xdr:row>
      <xdr:rowOff>104988</xdr:rowOff>
    </xdr:from>
    <xdr:to>
      <xdr:col>19</xdr:col>
      <xdr:colOff>338667</xdr:colOff>
      <xdr:row>13</xdr:row>
      <xdr:rowOff>127000</xdr:rowOff>
    </xdr:to>
    <mc:AlternateContent xmlns:mc="http://schemas.openxmlformats.org/markup-compatibility/2006">
      <mc:Choice xmlns:a14="http://schemas.microsoft.com/office/drawing/2010/main" Requires="a14">
        <xdr:graphicFrame macro="">
          <xdr:nvGraphicFramePr>
            <xdr:cNvPr id="13" name="Year 1">
              <a:extLst>
                <a:ext uri="{FF2B5EF4-FFF2-40B4-BE49-F238E27FC236}">
                  <a16:creationId xmlns:a16="http://schemas.microsoft.com/office/drawing/2014/main" id="{8CEA448E-5FCE-4E98-B442-4ED16BE56AC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224346" y="562188"/>
              <a:ext cx="1696721" cy="2070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ushant Shelke" refreshedDate="46070.53083009259" createdVersion="7" refreshedVersion="7" minRefreshableVersion="3" recordCount="54">
  <cacheSource type="worksheet">
    <worksheetSource ref="A1:G55" sheet="lamborghini_sales_2020_2025"/>
  </cacheSource>
  <cacheFields count="7">
    <cacheField name="Model" numFmtId="0">
      <sharedItems/>
    </cacheField>
    <cacheField name="Year" numFmtId="0">
      <sharedItems containsSemiMixedTypes="0" containsString="0" containsNumber="1" containsInteger="1" minValue="2020" maxValue="2025" count="6">
        <n v="2020"/>
        <n v="2021"/>
        <n v="2022"/>
        <n v="2023"/>
        <n v="2024"/>
        <n v="2025"/>
      </sharedItems>
    </cacheField>
    <cacheField name="Region" numFmtId="0">
      <sharedItems count="3">
        <s v="EMEA"/>
        <s v="Americas"/>
        <s v="APAC"/>
      </sharedItems>
    </cacheField>
    <cacheField name="Color" numFmtId="0">
      <sharedItems/>
    </cacheField>
    <cacheField name="Fuel Type" numFmtId="0">
      <sharedItems/>
    </cacheField>
    <cacheField name="price(USD)" numFmtId="167">
      <sharedItems containsSemiMixedTypes="0" containsString="0" containsNumber="1" containsInteger="1" minValue="230000" maxValue="590000"/>
    </cacheField>
    <cacheField name="Unit(sales)" numFmtId="0">
      <sharedItems containsSemiMixedTypes="0" containsString="0" containsNumber="1" containsInteger="1" minValue="63" maxValue="6200"/>
    </cacheField>
  </cacheFields>
  <extLst>
    <ext xmlns:x14="http://schemas.microsoft.com/office/spreadsheetml/2009/9/main" uri="{725AE2AE-9491-48be-B2B4-4EB974FC3084}">
      <x14:pivotCacheDefinition pivotCacheId="1885996004"/>
    </ext>
  </extLst>
</pivotCacheDefinition>
</file>

<file path=xl/pivotCache/pivotCacheDefinition2.xml><?xml version="1.0" encoding="utf-8"?>
<pivotCacheDefinition xmlns="http://schemas.openxmlformats.org/spreadsheetml/2006/main" xmlns:r="http://schemas.openxmlformats.org/officeDocument/2006/relationships" r:id="rId1" refreshedBy="Sushant Shelke" refreshedDate="46070.530964583333" createdVersion="7" refreshedVersion="7" minRefreshableVersion="3" recordCount="54">
  <cacheSource type="worksheet">
    <worksheetSource ref="A1:H55" sheet="lamborghini_sales_2020_2025"/>
  </cacheSource>
  <cacheFields count="8">
    <cacheField name="Model" numFmtId="0">
      <sharedItems count="6">
        <s v="Urus"/>
        <s v="HuracÃ¡n"/>
        <s v="Aventador"/>
        <s v="Revuelto"/>
        <s v="Urus SE"/>
        <s v="HuracÃ¡n (Temerario)"/>
      </sharedItems>
    </cacheField>
    <cacheField name="Year" numFmtId="0">
      <sharedItems containsSemiMixedTypes="0" containsString="0" containsNumber="1" containsInteger="1" minValue="2020" maxValue="2025" count="6">
        <n v="2020"/>
        <n v="2021"/>
        <n v="2022"/>
        <n v="2023"/>
        <n v="2024"/>
        <n v="2025"/>
      </sharedItems>
    </cacheField>
    <cacheField name="Region" numFmtId="0">
      <sharedItems count="3">
        <s v="EMEA"/>
        <s v="Americas"/>
        <s v="APAC"/>
      </sharedItems>
    </cacheField>
    <cacheField name="Color" numFmtId="0">
      <sharedItems/>
    </cacheField>
    <cacheField name="Fuel Type" numFmtId="0">
      <sharedItems count="2">
        <s v="Gasoline"/>
        <s v="Hybrid"/>
      </sharedItems>
    </cacheField>
    <cacheField name="price(USD)" numFmtId="167">
      <sharedItems containsSemiMixedTypes="0" containsString="0" containsNumber="1" containsInteger="1" minValue="230000" maxValue="590000"/>
    </cacheField>
    <cacheField name="Unit(sales)" numFmtId="0">
      <sharedItems containsSemiMixedTypes="0" containsString="0" containsNumber="1" containsInteger="1" minValue="63" maxValue="6200"/>
    </cacheField>
    <cacheField name="Revenue(USD)" numFmtId="169">
      <sharedItems containsSemiMixedTypes="0" containsString="0" containsNumber="1" containsInteger="1" minValue="36540000" maxValue="1856000000"/>
    </cacheField>
  </cacheFields>
  <extLst>
    <ext xmlns:x14="http://schemas.microsoft.com/office/spreadsheetml/2009/9/main" uri="{725AE2AE-9491-48be-B2B4-4EB974FC3084}">
      <x14:pivotCacheDefinition pivotCacheId="1273777558"/>
    </ext>
  </extLst>
</pivotCacheDefinition>
</file>

<file path=xl/pivotCache/pivotCacheRecords1.xml><?xml version="1.0" encoding="utf-8"?>
<pivotCacheRecords xmlns="http://schemas.openxmlformats.org/spreadsheetml/2006/main" xmlns:r="http://schemas.openxmlformats.org/officeDocument/2006/relationships" count="54">
  <r>
    <s v="Urus"/>
    <x v="0"/>
    <x v="0"/>
    <s v="Black"/>
    <s v="Gasoline"/>
    <n v="230000"/>
    <n v="4500"/>
  </r>
  <r>
    <s v="Urus"/>
    <x v="0"/>
    <x v="1"/>
    <s v="White"/>
    <s v="Gasoline"/>
    <n v="240000"/>
    <n v="4800"/>
  </r>
  <r>
    <s v="Urus"/>
    <x v="0"/>
    <x v="2"/>
    <s v="Red"/>
    <s v="Gasoline"/>
    <n v="235000"/>
    <n v="2700"/>
  </r>
  <r>
    <s v="HuracÃ¡n"/>
    <x v="0"/>
    <x v="0"/>
    <s v="Yellow"/>
    <s v="Gasoline"/>
    <n v="260000"/>
    <n v="2500"/>
  </r>
  <r>
    <s v="HuracÃ¡n"/>
    <x v="0"/>
    <x v="1"/>
    <s v="Orange"/>
    <s v="Gasoline"/>
    <n v="270000"/>
    <n v="2600"/>
  </r>
  <r>
    <s v="HuracÃ¡n"/>
    <x v="0"/>
    <x v="2"/>
    <s v="Black"/>
    <s v="Gasoline"/>
    <n v="265000"/>
    <n v="1500"/>
  </r>
  <r>
    <s v="Aventador"/>
    <x v="0"/>
    <x v="0"/>
    <s v="Black"/>
    <s v="Gasoline"/>
    <n v="550000"/>
    <n v="600"/>
  </r>
  <r>
    <s v="Aventador"/>
    <x v="0"/>
    <x v="1"/>
    <s v="White"/>
    <s v="Gasoline"/>
    <n v="560000"/>
    <n v="650"/>
  </r>
  <r>
    <s v="Aventador"/>
    <x v="0"/>
    <x v="2"/>
    <s v="Red"/>
    <s v="Gasoline"/>
    <n v="555000"/>
    <n v="400"/>
  </r>
  <r>
    <s v="Urus"/>
    <x v="1"/>
    <x v="0"/>
    <s v="Silver"/>
    <s v="Gasoline"/>
    <n v="235000"/>
    <n v="5021"/>
  </r>
  <r>
    <s v="Urus"/>
    <x v="1"/>
    <x v="1"/>
    <s v="Black"/>
    <s v="Gasoline"/>
    <n v="245000"/>
    <n v="5200"/>
  </r>
  <r>
    <s v="Urus"/>
    <x v="1"/>
    <x v="2"/>
    <s v="White"/>
    <s v="Gasoline"/>
    <n v="240000"/>
    <n v="2780"/>
  </r>
  <r>
    <s v="HuracÃ¡n"/>
    <x v="1"/>
    <x v="0"/>
    <s v="Yellow"/>
    <s v="Gasoline"/>
    <n v="265000"/>
    <n v="2586"/>
  </r>
  <r>
    <s v="HuracÃ¡n"/>
    <x v="1"/>
    <x v="1"/>
    <s v="Orange"/>
    <s v="Gasoline"/>
    <n v="275000"/>
    <n v="2700"/>
  </r>
  <r>
    <s v="HuracÃ¡n"/>
    <x v="1"/>
    <x v="2"/>
    <s v="Black"/>
    <s v="Gasoline"/>
    <n v="270000"/>
    <n v="1520"/>
  </r>
  <r>
    <s v="Aventador"/>
    <x v="1"/>
    <x v="0"/>
    <s v="Black"/>
    <s v="Gasoline"/>
    <n v="560000"/>
    <n v="798"/>
  </r>
  <r>
    <s v="Aventador"/>
    <x v="1"/>
    <x v="1"/>
    <s v="White"/>
    <s v="Gasoline"/>
    <n v="570000"/>
    <n v="820"/>
  </r>
  <r>
    <s v="Aventador"/>
    <x v="1"/>
    <x v="2"/>
    <s v="Red"/>
    <s v="Gasoline"/>
    <n v="565000"/>
    <n v="500"/>
  </r>
  <r>
    <s v="Urus"/>
    <x v="2"/>
    <x v="0"/>
    <s v="Black"/>
    <s v="Gasoline"/>
    <n v="240000"/>
    <n v="5367"/>
  </r>
  <r>
    <s v="Urus"/>
    <x v="2"/>
    <x v="1"/>
    <s v="White"/>
    <s v="Gasoline"/>
    <n v="250000"/>
    <n v="5550"/>
  </r>
  <r>
    <s v="Urus"/>
    <x v="2"/>
    <x v="2"/>
    <s v="Red"/>
    <s v="Gasoline"/>
    <n v="245000"/>
    <n v="3000"/>
  </r>
  <r>
    <s v="HuracÃ¡n"/>
    <x v="2"/>
    <x v="0"/>
    <s v="Yellow"/>
    <s v="Gasoline"/>
    <n v="270000"/>
    <n v="3113"/>
  </r>
  <r>
    <s v="HuracÃ¡n"/>
    <x v="2"/>
    <x v="1"/>
    <s v="Orange"/>
    <s v="Gasoline"/>
    <n v="280000"/>
    <n v="3300"/>
  </r>
  <r>
    <s v="HuracÃ¡n"/>
    <x v="2"/>
    <x v="2"/>
    <s v="Black"/>
    <s v="Gasoline"/>
    <n v="275000"/>
    <n v="1900"/>
  </r>
  <r>
    <s v="Aventador"/>
    <x v="2"/>
    <x v="0"/>
    <s v="Black"/>
    <s v="Gasoline"/>
    <n v="570000"/>
    <n v="753"/>
  </r>
  <r>
    <s v="Aventador"/>
    <x v="2"/>
    <x v="1"/>
    <s v="White"/>
    <s v="Gasoline"/>
    <n v="580000"/>
    <n v="780"/>
  </r>
  <r>
    <s v="Aventador"/>
    <x v="2"/>
    <x v="2"/>
    <s v="Red"/>
    <s v="Gasoline"/>
    <n v="575000"/>
    <n v="480"/>
  </r>
  <r>
    <s v="Urus"/>
    <x v="3"/>
    <x v="0"/>
    <s v="Black"/>
    <s v="Gasoline"/>
    <n v="250000"/>
    <n v="6087"/>
  </r>
  <r>
    <s v="Urus"/>
    <x v="3"/>
    <x v="1"/>
    <s v="White"/>
    <s v="Gasoline"/>
    <n v="260000"/>
    <n v="6200"/>
  </r>
  <r>
    <s v="Urus"/>
    <x v="3"/>
    <x v="2"/>
    <s v="Red"/>
    <s v="Gasoline"/>
    <n v="255000"/>
    <n v="3100"/>
  </r>
  <r>
    <s v="HuracÃ¡n"/>
    <x v="3"/>
    <x v="0"/>
    <s v="Yellow"/>
    <s v="Gasoline"/>
    <n v="280000"/>
    <n v="3962"/>
  </r>
  <r>
    <s v="HuracÃ¡n"/>
    <x v="3"/>
    <x v="1"/>
    <s v="Orange"/>
    <s v="Gasoline"/>
    <n v="290000"/>
    <n v="4000"/>
  </r>
  <r>
    <s v="HuracÃ¡n"/>
    <x v="3"/>
    <x v="2"/>
    <s v="Black"/>
    <s v="Gasoline"/>
    <n v="285000"/>
    <n v="2300"/>
  </r>
  <r>
    <s v="Aventador"/>
    <x v="3"/>
    <x v="0"/>
    <s v="Black"/>
    <s v="Gasoline"/>
    <n v="580000"/>
    <n v="63"/>
  </r>
  <r>
    <s v="Aventador"/>
    <x v="3"/>
    <x v="1"/>
    <s v="White"/>
    <s v="Gasoline"/>
    <n v="590000"/>
    <n v="63"/>
  </r>
  <r>
    <s v="Aventador"/>
    <x v="3"/>
    <x v="2"/>
    <s v="Red"/>
    <s v="Gasoline"/>
    <n v="585000"/>
    <n v="63"/>
  </r>
  <r>
    <s v="Revuelto"/>
    <x v="4"/>
    <x v="0"/>
    <s v="Blue"/>
    <s v="Hybrid"/>
    <n v="500000"/>
    <n v="1406"/>
  </r>
  <r>
    <s v="Revuelto"/>
    <x v="4"/>
    <x v="1"/>
    <s v="White"/>
    <s v="Hybrid"/>
    <n v="520000"/>
    <n v="1500"/>
  </r>
  <r>
    <s v="Revuelto"/>
    <x v="4"/>
    <x v="2"/>
    <s v="Green"/>
    <s v="Hybrid"/>
    <n v="510000"/>
    <n v="900"/>
  </r>
  <r>
    <s v="Urus SE"/>
    <x v="4"/>
    <x v="0"/>
    <s v="Black"/>
    <s v="Hybrid"/>
    <n v="300000"/>
    <n v="5662"/>
  </r>
  <r>
    <s v="Urus SE"/>
    <x v="4"/>
    <x v="1"/>
    <s v="Silver"/>
    <s v="Hybrid"/>
    <n v="320000"/>
    <n v="5800"/>
  </r>
  <r>
    <s v="Urus SE"/>
    <x v="4"/>
    <x v="2"/>
    <s v="Red"/>
    <s v="Hybrid"/>
    <n v="310000"/>
    <n v="3150"/>
  </r>
  <r>
    <s v="HuracÃ¡n"/>
    <x v="4"/>
    <x v="0"/>
    <s v="Yellow"/>
    <s v="Gasoline"/>
    <n v="290000"/>
    <n v="3600"/>
  </r>
  <r>
    <s v="HuracÃ¡n"/>
    <x v="4"/>
    <x v="1"/>
    <s v="Orange"/>
    <s v="Gasoline"/>
    <n v="300000"/>
    <n v="3700"/>
  </r>
  <r>
    <s v="HuracÃ¡n"/>
    <x v="4"/>
    <x v="2"/>
    <s v="Black"/>
    <s v="Gasoline"/>
    <n v="295000"/>
    <n v="2200"/>
  </r>
  <r>
    <s v="Revuelto"/>
    <x v="5"/>
    <x v="0"/>
    <s v="Red"/>
    <s v="Hybrid"/>
    <n v="550000"/>
    <n v="1700"/>
  </r>
  <r>
    <s v="Revuelto"/>
    <x v="5"/>
    <x v="1"/>
    <s v="Blue"/>
    <s v="Hybrid"/>
    <n v="570000"/>
    <n v="1800"/>
  </r>
  <r>
    <s v="Revuelto"/>
    <x v="5"/>
    <x v="2"/>
    <s v="Black"/>
    <s v="Hybrid"/>
    <n v="560000"/>
    <n v="1650"/>
  </r>
  <r>
    <s v="Urus SE"/>
    <x v="5"/>
    <x v="0"/>
    <s v="White"/>
    <s v="Hybrid"/>
    <n v="330000"/>
    <n v="4650"/>
  </r>
  <r>
    <s v="Urus SE"/>
    <x v="5"/>
    <x v="1"/>
    <s v="Black"/>
    <s v="Hybrid"/>
    <n v="340000"/>
    <n v="4800"/>
  </r>
  <r>
    <s v="Urus SE"/>
    <x v="5"/>
    <x v="2"/>
    <s v="Silver"/>
    <s v="Hybrid"/>
    <n v="335000"/>
    <n v="2750"/>
  </r>
  <r>
    <s v="HuracÃ¡n (Temerario)"/>
    <x v="5"/>
    <x v="0"/>
    <s v="Grey"/>
    <s v="Hybrid"/>
    <n v="380000"/>
    <n v="1300"/>
  </r>
  <r>
    <s v="HuracÃ¡n (Temerario)"/>
    <x v="5"/>
    <x v="1"/>
    <s v="Orange"/>
    <s v="Hybrid"/>
    <n v="390000"/>
    <n v="1400"/>
  </r>
  <r>
    <s v="HuracÃ¡n (Temerario)"/>
    <x v="5"/>
    <x v="2"/>
    <s v="White"/>
    <s v="Hybrid"/>
    <n v="385000"/>
    <n v="1150"/>
  </r>
</pivotCacheRecords>
</file>

<file path=xl/pivotCache/pivotCacheRecords2.xml><?xml version="1.0" encoding="utf-8"?>
<pivotCacheRecords xmlns="http://schemas.openxmlformats.org/spreadsheetml/2006/main" xmlns:r="http://schemas.openxmlformats.org/officeDocument/2006/relationships" count="54">
  <r>
    <x v="0"/>
    <x v="0"/>
    <x v="0"/>
    <s v="Black"/>
    <x v="0"/>
    <n v="230000"/>
    <n v="4500"/>
    <n v="1035000000"/>
  </r>
  <r>
    <x v="0"/>
    <x v="0"/>
    <x v="1"/>
    <s v="White"/>
    <x v="0"/>
    <n v="240000"/>
    <n v="4800"/>
    <n v="1152000000"/>
  </r>
  <r>
    <x v="0"/>
    <x v="0"/>
    <x v="2"/>
    <s v="Red"/>
    <x v="0"/>
    <n v="235000"/>
    <n v="2700"/>
    <n v="634500000"/>
  </r>
  <r>
    <x v="1"/>
    <x v="0"/>
    <x v="0"/>
    <s v="Yellow"/>
    <x v="0"/>
    <n v="260000"/>
    <n v="2500"/>
    <n v="650000000"/>
  </r>
  <r>
    <x v="1"/>
    <x v="0"/>
    <x v="1"/>
    <s v="Orange"/>
    <x v="0"/>
    <n v="270000"/>
    <n v="2600"/>
    <n v="702000000"/>
  </r>
  <r>
    <x v="1"/>
    <x v="0"/>
    <x v="2"/>
    <s v="Black"/>
    <x v="0"/>
    <n v="265000"/>
    <n v="1500"/>
    <n v="397500000"/>
  </r>
  <r>
    <x v="2"/>
    <x v="0"/>
    <x v="0"/>
    <s v="Black"/>
    <x v="0"/>
    <n v="550000"/>
    <n v="600"/>
    <n v="330000000"/>
  </r>
  <r>
    <x v="2"/>
    <x v="0"/>
    <x v="1"/>
    <s v="White"/>
    <x v="0"/>
    <n v="560000"/>
    <n v="650"/>
    <n v="364000000"/>
  </r>
  <r>
    <x v="2"/>
    <x v="0"/>
    <x v="2"/>
    <s v="Red"/>
    <x v="0"/>
    <n v="555000"/>
    <n v="400"/>
    <n v="222000000"/>
  </r>
  <r>
    <x v="0"/>
    <x v="1"/>
    <x v="0"/>
    <s v="Silver"/>
    <x v="0"/>
    <n v="235000"/>
    <n v="5021"/>
    <n v="1179935000"/>
  </r>
  <r>
    <x v="0"/>
    <x v="1"/>
    <x v="1"/>
    <s v="Black"/>
    <x v="0"/>
    <n v="245000"/>
    <n v="5200"/>
    <n v="1274000000"/>
  </r>
  <r>
    <x v="0"/>
    <x v="1"/>
    <x v="2"/>
    <s v="White"/>
    <x v="0"/>
    <n v="240000"/>
    <n v="2780"/>
    <n v="667200000"/>
  </r>
  <r>
    <x v="1"/>
    <x v="1"/>
    <x v="0"/>
    <s v="Yellow"/>
    <x v="0"/>
    <n v="265000"/>
    <n v="2586"/>
    <n v="685290000"/>
  </r>
  <r>
    <x v="1"/>
    <x v="1"/>
    <x v="1"/>
    <s v="Orange"/>
    <x v="0"/>
    <n v="275000"/>
    <n v="2700"/>
    <n v="742500000"/>
  </r>
  <r>
    <x v="1"/>
    <x v="1"/>
    <x v="2"/>
    <s v="Black"/>
    <x v="0"/>
    <n v="270000"/>
    <n v="1520"/>
    <n v="410400000"/>
  </r>
  <r>
    <x v="2"/>
    <x v="1"/>
    <x v="0"/>
    <s v="Black"/>
    <x v="0"/>
    <n v="560000"/>
    <n v="798"/>
    <n v="446880000"/>
  </r>
  <r>
    <x v="2"/>
    <x v="1"/>
    <x v="1"/>
    <s v="White"/>
    <x v="0"/>
    <n v="570000"/>
    <n v="820"/>
    <n v="467400000"/>
  </r>
  <r>
    <x v="2"/>
    <x v="1"/>
    <x v="2"/>
    <s v="Red"/>
    <x v="0"/>
    <n v="565000"/>
    <n v="500"/>
    <n v="282500000"/>
  </r>
  <r>
    <x v="0"/>
    <x v="2"/>
    <x v="0"/>
    <s v="Black"/>
    <x v="0"/>
    <n v="240000"/>
    <n v="5367"/>
    <n v="1288080000"/>
  </r>
  <r>
    <x v="0"/>
    <x v="2"/>
    <x v="1"/>
    <s v="White"/>
    <x v="0"/>
    <n v="250000"/>
    <n v="5550"/>
    <n v="1387500000"/>
  </r>
  <r>
    <x v="0"/>
    <x v="2"/>
    <x v="2"/>
    <s v="Red"/>
    <x v="0"/>
    <n v="245000"/>
    <n v="3000"/>
    <n v="735000000"/>
  </r>
  <r>
    <x v="1"/>
    <x v="2"/>
    <x v="0"/>
    <s v="Yellow"/>
    <x v="0"/>
    <n v="270000"/>
    <n v="3113"/>
    <n v="840510000"/>
  </r>
  <r>
    <x v="1"/>
    <x v="2"/>
    <x v="1"/>
    <s v="Orange"/>
    <x v="0"/>
    <n v="280000"/>
    <n v="3300"/>
    <n v="924000000"/>
  </r>
  <r>
    <x v="1"/>
    <x v="2"/>
    <x v="2"/>
    <s v="Black"/>
    <x v="0"/>
    <n v="275000"/>
    <n v="1900"/>
    <n v="522500000"/>
  </r>
  <r>
    <x v="2"/>
    <x v="2"/>
    <x v="0"/>
    <s v="Black"/>
    <x v="0"/>
    <n v="570000"/>
    <n v="753"/>
    <n v="429210000"/>
  </r>
  <r>
    <x v="2"/>
    <x v="2"/>
    <x v="1"/>
    <s v="White"/>
    <x v="0"/>
    <n v="580000"/>
    <n v="780"/>
    <n v="452400000"/>
  </r>
  <r>
    <x v="2"/>
    <x v="2"/>
    <x v="2"/>
    <s v="Red"/>
    <x v="0"/>
    <n v="575000"/>
    <n v="480"/>
    <n v="276000000"/>
  </r>
  <r>
    <x v="0"/>
    <x v="3"/>
    <x v="0"/>
    <s v="Black"/>
    <x v="0"/>
    <n v="250000"/>
    <n v="6087"/>
    <n v="1521750000"/>
  </r>
  <r>
    <x v="0"/>
    <x v="3"/>
    <x v="1"/>
    <s v="White"/>
    <x v="0"/>
    <n v="260000"/>
    <n v="6200"/>
    <n v="1612000000"/>
  </r>
  <r>
    <x v="0"/>
    <x v="3"/>
    <x v="2"/>
    <s v="Red"/>
    <x v="0"/>
    <n v="255000"/>
    <n v="3100"/>
    <n v="790500000"/>
  </r>
  <r>
    <x v="1"/>
    <x v="3"/>
    <x v="0"/>
    <s v="Yellow"/>
    <x v="0"/>
    <n v="280000"/>
    <n v="3962"/>
    <n v="1109360000"/>
  </r>
  <r>
    <x v="1"/>
    <x v="3"/>
    <x v="1"/>
    <s v="Orange"/>
    <x v="0"/>
    <n v="290000"/>
    <n v="4000"/>
    <n v="1160000000"/>
  </r>
  <r>
    <x v="1"/>
    <x v="3"/>
    <x v="2"/>
    <s v="Black"/>
    <x v="0"/>
    <n v="285000"/>
    <n v="2300"/>
    <n v="655500000"/>
  </r>
  <r>
    <x v="2"/>
    <x v="3"/>
    <x v="0"/>
    <s v="Black"/>
    <x v="0"/>
    <n v="580000"/>
    <n v="63"/>
    <n v="36540000"/>
  </r>
  <r>
    <x v="2"/>
    <x v="3"/>
    <x v="1"/>
    <s v="White"/>
    <x v="0"/>
    <n v="590000"/>
    <n v="63"/>
    <n v="37170000"/>
  </r>
  <r>
    <x v="2"/>
    <x v="3"/>
    <x v="2"/>
    <s v="Red"/>
    <x v="0"/>
    <n v="585000"/>
    <n v="63"/>
    <n v="36855000"/>
  </r>
  <r>
    <x v="3"/>
    <x v="4"/>
    <x v="0"/>
    <s v="Blue"/>
    <x v="1"/>
    <n v="500000"/>
    <n v="1406"/>
    <n v="703000000"/>
  </r>
  <r>
    <x v="3"/>
    <x v="4"/>
    <x v="1"/>
    <s v="White"/>
    <x v="1"/>
    <n v="520000"/>
    <n v="1500"/>
    <n v="780000000"/>
  </r>
  <r>
    <x v="3"/>
    <x v="4"/>
    <x v="2"/>
    <s v="Green"/>
    <x v="1"/>
    <n v="510000"/>
    <n v="900"/>
    <n v="459000000"/>
  </r>
  <r>
    <x v="4"/>
    <x v="4"/>
    <x v="0"/>
    <s v="Black"/>
    <x v="1"/>
    <n v="300000"/>
    <n v="5662"/>
    <n v="1698600000"/>
  </r>
  <r>
    <x v="4"/>
    <x v="4"/>
    <x v="1"/>
    <s v="Silver"/>
    <x v="1"/>
    <n v="320000"/>
    <n v="5800"/>
    <n v="1856000000"/>
  </r>
  <r>
    <x v="4"/>
    <x v="4"/>
    <x v="2"/>
    <s v="Red"/>
    <x v="1"/>
    <n v="310000"/>
    <n v="3150"/>
    <n v="976500000"/>
  </r>
  <r>
    <x v="1"/>
    <x v="4"/>
    <x v="0"/>
    <s v="Yellow"/>
    <x v="0"/>
    <n v="290000"/>
    <n v="3600"/>
    <n v="1044000000"/>
  </r>
  <r>
    <x v="1"/>
    <x v="4"/>
    <x v="1"/>
    <s v="Orange"/>
    <x v="0"/>
    <n v="300000"/>
    <n v="3700"/>
    <n v="1110000000"/>
  </r>
  <r>
    <x v="1"/>
    <x v="4"/>
    <x v="2"/>
    <s v="Black"/>
    <x v="0"/>
    <n v="295000"/>
    <n v="2200"/>
    <n v="649000000"/>
  </r>
  <r>
    <x v="3"/>
    <x v="5"/>
    <x v="0"/>
    <s v="Red"/>
    <x v="1"/>
    <n v="550000"/>
    <n v="1700"/>
    <n v="935000000"/>
  </r>
  <r>
    <x v="3"/>
    <x v="5"/>
    <x v="1"/>
    <s v="Blue"/>
    <x v="1"/>
    <n v="570000"/>
    <n v="1800"/>
    <n v="1026000000"/>
  </r>
  <r>
    <x v="3"/>
    <x v="5"/>
    <x v="2"/>
    <s v="Black"/>
    <x v="1"/>
    <n v="560000"/>
    <n v="1650"/>
    <n v="924000000"/>
  </r>
  <r>
    <x v="4"/>
    <x v="5"/>
    <x v="0"/>
    <s v="White"/>
    <x v="1"/>
    <n v="330000"/>
    <n v="4650"/>
    <n v="1534500000"/>
  </r>
  <r>
    <x v="4"/>
    <x v="5"/>
    <x v="1"/>
    <s v="Black"/>
    <x v="1"/>
    <n v="340000"/>
    <n v="4800"/>
    <n v="1632000000"/>
  </r>
  <r>
    <x v="4"/>
    <x v="5"/>
    <x v="2"/>
    <s v="Silver"/>
    <x v="1"/>
    <n v="335000"/>
    <n v="2750"/>
    <n v="921250000"/>
  </r>
  <r>
    <x v="5"/>
    <x v="5"/>
    <x v="0"/>
    <s v="Grey"/>
    <x v="1"/>
    <n v="380000"/>
    <n v="1300"/>
    <n v="494000000"/>
  </r>
  <r>
    <x v="5"/>
    <x v="5"/>
    <x v="1"/>
    <s v="Orange"/>
    <x v="1"/>
    <n v="390000"/>
    <n v="1400"/>
    <n v="546000000"/>
  </r>
  <r>
    <x v="5"/>
    <x v="5"/>
    <x v="2"/>
    <s v="White"/>
    <x v="1"/>
    <n v="385000"/>
    <n v="1150"/>
    <n v="4427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2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A3:B9" firstHeaderRow="1" firstDataRow="1" firstDataCol="1"/>
  <pivotFields count="7">
    <pivotField showAll="0"/>
    <pivotField axis="axisRow" showAll="0">
      <items count="7">
        <item x="0"/>
        <item x="1"/>
        <item x="2"/>
        <item x="3"/>
        <item x="4"/>
        <item x="5"/>
        <item t="default"/>
      </items>
    </pivotField>
    <pivotField showAll="0"/>
    <pivotField showAll="0"/>
    <pivotField showAll="0"/>
    <pivotField showAll="0"/>
    <pivotField dataField="1" showAll="0"/>
  </pivotFields>
  <rowFields count="1">
    <field x="1"/>
  </rowFields>
  <rowItems count="6">
    <i>
      <x/>
    </i>
    <i>
      <x v="1"/>
    </i>
    <i>
      <x v="2"/>
    </i>
    <i>
      <x v="3"/>
    </i>
    <i>
      <x v="4"/>
    </i>
    <i>
      <x v="5"/>
    </i>
  </rowItems>
  <colItems count="1">
    <i/>
  </colItems>
  <dataFields count="1">
    <dataField name="Sum of Unit(sales)" fld="6" baseField="1" baseItem="0"/>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12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3">
  <location ref="A3:B6" firstHeaderRow="1" firstDataRow="1" firstDataCol="1"/>
  <pivotFields count="7">
    <pivotField showAll="0"/>
    <pivotField showAll="0"/>
    <pivotField axis="axisRow" showAll="0">
      <items count="4">
        <item x="1"/>
        <item x="2"/>
        <item x="0"/>
        <item t="default"/>
      </items>
    </pivotField>
    <pivotField showAll="0"/>
    <pivotField showAll="0"/>
    <pivotField showAll="0"/>
    <pivotField dataField="1" showAll="0"/>
  </pivotFields>
  <rowFields count="1">
    <field x="2"/>
  </rowFields>
  <rowItems count="3">
    <i>
      <x/>
    </i>
    <i>
      <x v="1"/>
    </i>
    <i>
      <x v="2"/>
    </i>
  </rowItems>
  <colItems count="1">
    <i/>
  </colItems>
  <dataFields count="1">
    <dataField name="Sum of Unit(sales)" fld="6" showDataAs="percentOfTotal" baseField="0" baseItem="0" numFmtId="10"/>
  </dataField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2" count="1" selected="0">
            <x v="0"/>
          </reference>
        </references>
      </pivotArea>
    </chartFormat>
    <chartFormat chart="10" format="10">
      <pivotArea type="data" outline="0" fieldPosition="0">
        <references count="2">
          <reference field="4294967294" count="1" selected="0">
            <x v="0"/>
          </reference>
          <reference field="2" count="1" selected="0">
            <x v="1"/>
          </reference>
        </references>
      </pivotArea>
    </chartFormat>
    <chartFormat chart="10"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1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10" firstHeaderRow="1" firstDataRow="1" firstDataCol="1"/>
  <pivotFields count="8">
    <pivotField axis="axisRow" showAll="0" sortType="ascending">
      <items count="7">
        <item x="2"/>
        <item x="1"/>
        <item x="5"/>
        <item x="3"/>
        <item x="0"/>
        <item x="4"/>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4">
        <item x="1"/>
        <item x="2"/>
        <item x="0"/>
        <item t="default"/>
      </items>
    </pivotField>
    <pivotField showAll="0"/>
    <pivotField showAll="0"/>
    <pivotField numFmtId="167" showAll="0"/>
    <pivotField showAll="0"/>
    <pivotField dataField="1" numFmtId="169" showAll="0"/>
  </pivotFields>
  <rowFields count="1">
    <field x="0"/>
  </rowFields>
  <rowItems count="7">
    <i>
      <x v="2"/>
    </i>
    <i>
      <x/>
    </i>
    <i>
      <x v="3"/>
    </i>
    <i>
      <x v="5"/>
    </i>
    <i>
      <x v="1"/>
    </i>
    <i>
      <x v="4"/>
    </i>
    <i t="grand">
      <x/>
    </i>
  </rowItems>
  <colItems count="1">
    <i/>
  </colItems>
  <dataFields count="1">
    <dataField name="Sum of Revenue(USD)" fld="7" baseField="0" baseItem="0"/>
  </dataFields>
  <formats count="7">
    <format dxfId="176">
      <pivotArea collapsedLevelsAreSubtotals="1" fieldPosition="0">
        <references count="1">
          <reference field="0" count="1">
            <x v="1"/>
          </reference>
        </references>
      </pivotArea>
    </format>
    <format dxfId="175">
      <pivotArea collapsedLevelsAreSubtotals="1" fieldPosition="0">
        <references count="1">
          <reference field="0" count="1">
            <x v="2"/>
          </reference>
        </references>
      </pivotArea>
    </format>
    <format dxfId="174">
      <pivotArea collapsedLevelsAreSubtotals="1" fieldPosition="0">
        <references count="1">
          <reference field="0" count="1">
            <x v="3"/>
          </reference>
        </references>
      </pivotArea>
    </format>
    <format dxfId="173">
      <pivotArea collapsedLevelsAreSubtotals="1" fieldPosition="0">
        <references count="1">
          <reference field="0" count="1">
            <x v="4"/>
          </reference>
        </references>
      </pivotArea>
    </format>
    <format dxfId="172">
      <pivotArea collapsedLevelsAreSubtotals="1" fieldPosition="0">
        <references count="1">
          <reference field="0" count="1">
            <x v="5"/>
          </reference>
        </references>
      </pivotArea>
    </format>
    <format dxfId="171">
      <pivotArea grandRow="1" outline="0" collapsedLevelsAreSubtotals="1" fieldPosition="0"/>
    </format>
    <format dxfId="170">
      <pivotArea collapsedLevelsAreSubtotals="1" fieldPosition="0">
        <references count="1">
          <reference field="0"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1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6" firstHeaderRow="1" firstDataRow="1" firstDataCol="1"/>
  <pivotFields count="8">
    <pivotField showAll="0"/>
    <pivotField showAll="0">
      <items count="7">
        <item x="0"/>
        <item x="1"/>
        <item x="2"/>
        <item x="3"/>
        <item x="4"/>
        <item x="5"/>
        <item t="default"/>
      </items>
    </pivotField>
    <pivotField showAll="0"/>
    <pivotField showAll="0"/>
    <pivotField axis="axisRow" showAll="0">
      <items count="3">
        <item x="0"/>
        <item x="1"/>
        <item t="default"/>
      </items>
    </pivotField>
    <pivotField numFmtId="167" showAll="0"/>
    <pivotField dataField="1" showAll="0"/>
    <pivotField numFmtId="169" showAll="0"/>
  </pivotFields>
  <rowFields count="1">
    <field x="4"/>
  </rowFields>
  <rowItems count="3">
    <i>
      <x/>
    </i>
    <i>
      <x v="1"/>
    </i>
    <i t="grand">
      <x/>
    </i>
  </rowItems>
  <colItems count="1">
    <i/>
  </colItems>
  <dataFields count="1">
    <dataField name="Sum of Unit(sales)" fld="6"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11" name="PivotTable7"/>
  </pivotTables>
  <data>
    <tabular pivotCacheId="1273777558">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1" cache="Slicer_Year1" caption="Year" rowHeight="234950"/>
</slicers>
</file>

<file path=xl/tables/table1.xml><?xml version="1.0" encoding="utf-8"?>
<table xmlns="http://schemas.openxmlformats.org/spreadsheetml/2006/main" id="9" name="Table9" displayName="Table9" ref="A1:H55" totalsRowShown="0">
  <autoFilter ref="A1:H55"/>
  <tableColumns count="8">
    <tableColumn id="1" name="Model"/>
    <tableColumn id="2" name="Year"/>
    <tableColumn id="3" name="Region"/>
    <tableColumn id="4" name="Color"/>
    <tableColumn id="5" name="Fuel Type"/>
    <tableColumn id="6" name="price(USD)" dataDxfId="169"/>
    <tableColumn id="7" name="Unit(sales)"/>
    <tableColumn id="8" name="Revenue(USD)" dataDxfId="168">
      <calculatedColumnFormula>(F2*G2)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tabSelected="1" workbookViewId="0">
      <selection activeCell="H11" sqref="H11"/>
    </sheetView>
  </sheetViews>
  <sheetFormatPr defaultRowHeight="14.4" x14ac:dyDescent="0.3"/>
  <cols>
    <col min="1" max="1" width="18.77734375" bestFit="1" customWidth="1"/>
    <col min="3" max="3" width="8.6640625" customWidth="1"/>
    <col min="4" max="4" width="9.109375" customWidth="1"/>
    <col min="5" max="5" width="10.88671875" customWidth="1"/>
    <col min="6" max="6" width="13" style="6" customWidth="1"/>
    <col min="7" max="7" width="11.77734375" bestFit="1" customWidth="1"/>
    <col min="8" max="8" width="16.21875" customWidth="1"/>
    <col min="10" max="10" width="12" bestFit="1" customWidth="1"/>
    <col min="11" max="11" width="10.44140625" customWidth="1"/>
  </cols>
  <sheetData>
    <row r="1" spans="1:8" x14ac:dyDescent="0.3">
      <c r="A1" t="s">
        <v>0</v>
      </c>
      <c r="B1" t="s">
        <v>1</v>
      </c>
      <c r="C1" t="s">
        <v>2</v>
      </c>
      <c r="D1" t="s">
        <v>3</v>
      </c>
      <c r="E1" t="s">
        <v>4</v>
      </c>
      <c r="F1" s="6" t="s">
        <v>27</v>
      </c>
      <c r="G1" t="s">
        <v>28</v>
      </c>
      <c r="H1" s="6" t="s">
        <v>32</v>
      </c>
    </row>
    <row r="2" spans="1:8" x14ac:dyDescent="0.3">
      <c r="A2" t="s">
        <v>5</v>
      </c>
      <c r="B2">
        <v>2020</v>
      </c>
      <c r="C2" t="s">
        <v>6</v>
      </c>
      <c r="D2" t="s">
        <v>7</v>
      </c>
      <c r="E2" t="s">
        <v>8</v>
      </c>
      <c r="F2" s="6">
        <v>230000</v>
      </c>
      <c r="G2">
        <v>4500</v>
      </c>
      <c r="H2" s="8">
        <f>(F2*G2)</f>
        <v>1035000000</v>
      </c>
    </row>
    <row r="3" spans="1:8" x14ac:dyDescent="0.3">
      <c r="A3" t="s">
        <v>5</v>
      </c>
      <c r="B3">
        <v>2020</v>
      </c>
      <c r="C3" t="s">
        <v>9</v>
      </c>
      <c r="D3" t="s">
        <v>10</v>
      </c>
      <c r="E3" t="s">
        <v>8</v>
      </c>
      <c r="F3" s="6">
        <v>240000</v>
      </c>
      <c r="G3">
        <v>4800</v>
      </c>
      <c r="H3" s="8">
        <f t="shared" ref="H3:H55" si="0">(F3*G3)</f>
        <v>1152000000</v>
      </c>
    </row>
    <row r="4" spans="1:8" x14ac:dyDescent="0.3">
      <c r="A4" t="s">
        <v>5</v>
      </c>
      <c r="B4">
        <v>2020</v>
      </c>
      <c r="C4" t="s">
        <v>11</v>
      </c>
      <c r="D4" t="s">
        <v>12</v>
      </c>
      <c r="E4" t="s">
        <v>8</v>
      </c>
      <c r="F4" s="6">
        <v>235000</v>
      </c>
      <c r="G4">
        <v>2700</v>
      </c>
      <c r="H4" s="8">
        <f t="shared" si="0"/>
        <v>634500000</v>
      </c>
    </row>
    <row r="5" spans="1:8" x14ac:dyDescent="0.3">
      <c r="A5" t="s">
        <v>13</v>
      </c>
      <c r="B5">
        <v>2020</v>
      </c>
      <c r="C5" t="s">
        <v>6</v>
      </c>
      <c r="D5" t="s">
        <v>14</v>
      </c>
      <c r="E5" t="s">
        <v>8</v>
      </c>
      <c r="F5" s="6">
        <v>260000</v>
      </c>
      <c r="G5">
        <v>2500</v>
      </c>
      <c r="H5" s="8">
        <f t="shared" si="0"/>
        <v>650000000</v>
      </c>
    </row>
    <row r="6" spans="1:8" x14ac:dyDescent="0.3">
      <c r="A6" t="s">
        <v>13</v>
      </c>
      <c r="B6">
        <v>2020</v>
      </c>
      <c r="C6" t="s">
        <v>9</v>
      </c>
      <c r="D6" t="s">
        <v>15</v>
      </c>
      <c r="E6" t="s">
        <v>8</v>
      </c>
      <c r="F6" s="6">
        <v>270000</v>
      </c>
      <c r="G6">
        <v>2600</v>
      </c>
      <c r="H6" s="8">
        <f t="shared" si="0"/>
        <v>702000000</v>
      </c>
    </row>
    <row r="7" spans="1:8" x14ac:dyDescent="0.3">
      <c r="A7" t="s">
        <v>13</v>
      </c>
      <c r="B7">
        <v>2020</v>
      </c>
      <c r="C7" t="s">
        <v>11</v>
      </c>
      <c r="D7" t="s">
        <v>7</v>
      </c>
      <c r="E7" t="s">
        <v>8</v>
      </c>
      <c r="F7" s="6">
        <v>265000</v>
      </c>
      <c r="G7">
        <v>1500</v>
      </c>
      <c r="H7" s="8">
        <f t="shared" si="0"/>
        <v>397500000</v>
      </c>
    </row>
    <row r="8" spans="1:8" x14ac:dyDescent="0.3">
      <c r="A8" t="s">
        <v>16</v>
      </c>
      <c r="B8">
        <v>2020</v>
      </c>
      <c r="C8" t="s">
        <v>6</v>
      </c>
      <c r="D8" t="s">
        <v>7</v>
      </c>
      <c r="E8" t="s">
        <v>8</v>
      </c>
      <c r="F8" s="6">
        <v>550000</v>
      </c>
      <c r="G8">
        <v>600</v>
      </c>
      <c r="H8" s="8">
        <f t="shared" si="0"/>
        <v>330000000</v>
      </c>
    </row>
    <row r="9" spans="1:8" x14ac:dyDescent="0.3">
      <c r="A9" t="s">
        <v>16</v>
      </c>
      <c r="B9">
        <v>2020</v>
      </c>
      <c r="C9" t="s">
        <v>9</v>
      </c>
      <c r="D9" t="s">
        <v>10</v>
      </c>
      <c r="E9" t="s">
        <v>8</v>
      </c>
      <c r="F9" s="6">
        <v>560000</v>
      </c>
      <c r="G9">
        <v>650</v>
      </c>
      <c r="H9" s="8">
        <f t="shared" si="0"/>
        <v>364000000</v>
      </c>
    </row>
    <row r="10" spans="1:8" x14ac:dyDescent="0.3">
      <c r="A10" t="s">
        <v>16</v>
      </c>
      <c r="B10">
        <v>2020</v>
      </c>
      <c r="C10" t="s">
        <v>11</v>
      </c>
      <c r="D10" t="s">
        <v>12</v>
      </c>
      <c r="E10" t="s">
        <v>8</v>
      </c>
      <c r="F10" s="6">
        <v>555000</v>
      </c>
      <c r="G10">
        <v>400</v>
      </c>
      <c r="H10" s="8">
        <f t="shared" si="0"/>
        <v>222000000</v>
      </c>
    </row>
    <row r="11" spans="1:8" x14ac:dyDescent="0.3">
      <c r="A11" t="s">
        <v>5</v>
      </c>
      <c r="B11">
        <v>2021</v>
      </c>
      <c r="C11" t="s">
        <v>6</v>
      </c>
      <c r="D11" t="s">
        <v>17</v>
      </c>
      <c r="E11" t="s">
        <v>8</v>
      </c>
      <c r="F11" s="6">
        <v>235000</v>
      </c>
      <c r="G11">
        <v>5021</v>
      </c>
      <c r="H11" s="8">
        <f t="shared" si="0"/>
        <v>1179935000</v>
      </c>
    </row>
    <row r="12" spans="1:8" x14ac:dyDescent="0.3">
      <c r="A12" t="s">
        <v>5</v>
      </c>
      <c r="B12">
        <v>2021</v>
      </c>
      <c r="C12" t="s">
        <v>9</v>
      </c>
      <c r="D12" t="s">
        <v>7</v>
      </c>
      <c r="E12" t="s">
        <v>8</v>
      </c>
      <c r="F12" s="6">
        <v>245000</v>
      </c>
      <c r="G12">
        <v>5200</v>
      </c>
      <c r="H12" s="8">
        <f t="shared" si="0"/>
        <v>1274000000</v>
      </c>
    </row>
    <row r="13" spans="1:8" x14ac:dyDescent="0.3">
      <c r="A13" t="s">
        <v>5</v>
      </c>
      <c r="B13">
        <v>2021</v>
      </c>
      <c r="C13" t="s">
        <v>11</v>
      </c>
      <c r="D13" t="s">
        <v>10</v>
      </c>
      <c r="E13" t="s">
        <v>8</v>
      </c>
      <c r="F13" s="6">
        <v>240000</v>
      </c>
      <c r="G13">
        <v>2780</v>
      </c>
      <c r="H13" s="8">
        <f t="shared" si="0"/>
        <v>667200000</v>
      </c>
    </row>
    <row r="14" spans="1:8" x14ac:dyDescent="0.3">
      <c r="A14" t="s">
        <v>13</v>
      </c>
      <c r="B14">
        <v>2021</v>
      </c>
      <c r="C14" t="s">
        <v>6</v>
      </c>
      <c r="D14" t="s">
        <v>14</v>
      </c>
      <c r="E14" t="s">
        <v>8</v>
      </c>
      <c r="F14" s="6">
        <v>265000</v>
      </c>
      <c r="G14">
        <v>2586</v>
      </c>
      <c r="H14" s="8">
        <f t="shared" si="0"/>
        <v>685290000</v>
      </c>
    </row>
    <row r="15" spans="1:8" x14ac:dyDescent="0.3">
      <c r="A15" t="s">
        <v>13</v>
      </c>
      <c r="B15">
        <v>2021</v>
      </c>
      <c r="C15" t="s">
        <v>9</v>
      </c>
      <c r="D15" t="s">
        <v>15</v>
      </c>
      <c r="E15" t="s">
        <v>8</v>
      </c>
      <c r="F15" s="6">
        <v>275000</v>
      </c>
      <c r="G15">
        <v>2700</v>
      </c>
      <c r="H15" s="8">
        <f t="shared" si="0"/>
        <v>742500000</v>
      </c>
    </row>
    <row r="16" spans="1:8" x14ac:dyDescent="0.3">
      <c r="A16" t="s">
        <v>13</v>
      </c>
      <c r="B16">
        <v>2021</v>
      </c>
      <c r="C16" t="s">
        <v>11</v>
      </c>
      <c r="D16" t="s">
        <v>7</v>
      </c>
      <c r="E16" t="s">
        <v>8</v>
      </c>
      <c r="F16" s="6">
        <v>270000</v>
      </c>
      <c r="G16">
        <v>1520</v>
      </c>
      <c r="H16" s="8">
        <f t="shared" si="0"/>
        <v>410400000</v>
      </c>
    </row>
    <row r="17" spans="1:8" x14ac:dyDescent="0.3">
      <c r="A17" t="s">
        <v>16</v>
      </c>
      <c r="B17">
        <v>2021</v>
      </c>
      <c r="C17" t="s">
        <v>6</v>
      </c>
      <c r="D17" t="s">
        <v>7</v>
      </c>
      <c r="E17" t="s">
        <v>8</v>
      </c>
      <c r="F17" s="6">
        <v>560000</v>
      </c>
      <c r="G17">
        <v>798</v>
      </c>
      <c r="H17" s="8">
        <f t="shared" si="0"/>
        <v>446880000</v>
      </c>
    </row>
    <row r="18" spans="1:8" x14ac:dyDescent="0.3">
      <c r="A18" t="s">
        <v>16</v>
      </c>
      <c r="B18">
        <v>2021</v>
      </c>
      <c r="C18" t="s">
        <v>9</v>
      </c>
      <c r="D18" t="s">
        <v>10</v>
      </c>
      <c r="E18" t="s">
        <v>8</v>
      </c>
      <c r="F18" s="6">
        <v>570000</v>
      </c>
      <c r="G18">
        <v>820</v>
      </c>
      <c r="H18" s="8">
        <f t="shared" si="0"/>
        <v>467400000</v>
      </c>
    </row>
    <row r="19" spans="1:8" x14ac:dyDescent="0.3">
      <c r="A19" t="s">
        <v>16</v>
      </c>
      <c r="B19">
        <v>2021</v>
      </c>
      <c r="C19" t="s">
        <v>11</v>
      </c>
      <c r="D19" t="s">
        <v>12</v>
      </c>
      <c r="E19" t="s">
        <v>8</v>
      </c>
      <c r="F19" s="6">
        <v>565000</v>
      </c>
      <c r="G19">
        <v>500</v>
      </c>
      <c r="H19" s="8">
        <f t="shared" si="0"/>
        <v>282500000</v>
      </c>
    </row>
    <row r="20" spans="1:8" x14ac:dyDescent="0.3">
      <c r="A20" t="s">
        <v>5</v>
      </c>
      <c r="B20">
        <v>2022</v>
      </c>
      <c r="C20" t="s">
        <v>6</v>
      </c>
      <c r="D20" t="s">
        <v>7</v>
      </c>
      <c r="E20" t="s">
        <v>8</v>
      </c>
      <c r="F20" s="6">
        <v>240000</v>
      </c>
      <c r="G20">
        <v>5367</v>
      </c>
      <c r="H20" s="8">
        <f t="shared" si="0"/>
        <v>1288080000</v>
      </c>
    </row>
    <row r="21" spans="1:8" x14ac:dyDescent="0.3">
      <c r="A21" t="s">
        <v>5</v>
      </c>
      <c r="B21">
        <v>2022</v>
      </c>
      <c r="C21" t="s">
        <v>9</v>
      </c>
      <c r="D21" t="s">
        <v>10</v>
      </c>
      <c r="E21" t="s">
        <v>8</v>
      </c>
      <c r="F21" s="6">
        <v>250000</v>
      </c>
      <c r="G21">
        <v>5550</v>
      </c>
      <c r="H21" s="8">
        <f t="shared" si="0"/>
        <v>1387500000</v>
      </c>
    </row>
    <row r="22" spans="1:8" x14ac:dyDescent="0.3">
      <c r="A22" t="s">
        <v>5</v>
      </c>
      <c r="B22">
        <v>2022</v>
      </c>
      <c r="C22" t="s">
        <v>11</v>
      </c>
      <c r="D22" t="s">
        <v>12</v>
      </c>
      <c r="E22" t="s">
        <v>8</v>
      </c>
      <c r="F22" s="6">
        <v>245000</v>
      </c>
      <c r="G22">
        <v>3000</v>
      </c>
      <c r="H22" s="8">
        <f t="shared" si="0"/>
        <v>735000000</v>
      </c>
    </row>
    <row r="23" spans="1:8" x14ac:dyDescent="0.3">
      <c r="A23" t="s">
        <v>13</v>
      </c>
      <c r="B23">
        <v>2022</v>
      </c>
      <c r="C23" t="s">
        <v>6</v>
      </c>
      <c r="D23" t="s">
        <v>14</v>
      </c>
      <c r="E23" t="s">
        <v>8</v>
      </c>
      <c r="F23" s="6">
        <v>270000</v>
      </c>
      <c r="G23">
        <v>3113</v>
      </c>
      <c r="H23" s="8">
        <f t="shared" si="0"/>
        <v>840510000</v>
      </c>
    </row>
    <row r="24" spans="1:8" x14ac:dyDescent="0.3">
      <c r="A24" t="s">
        <v>13</v>
      </c>
      <c r="B24">
        <v>2022</v>
      </c>
      <c r="C24" t="s">
        <v>9</v>
      </c>
      <c r="D24" t="s">
        <v>15</v>
      </c>
      <c r="E24" t="s">
        <v>8</v>
      </c>
      <c r="F24" s="6">
        <v>280000</v>
      </c>
      <c r="G24">
        <v>3300</v>
      </c>
      <c r="H24" s="8">
        <f t="shared" si="0"/>
        <v>924000000</v>
      </c>
    </row>
    <row r="25" spans="1:8" x14ac:dyDescent="0.3">
      <c r="A25" t="s">
        <v>13</v>
      </c>
      <c r="B25">
        <v>2022</v>
      </c>
      <c r="C25" t="s">
        <v>11</v>
      </c>
      <c r="D25" t="s">
        <v>7</v>
      </c>
      <c r="E25" t="s">
        <v>8</v>
      </c>
      <c r="F25" s="6">
        <v>275000</v>
      </c>
      <c r="G25">
        <v>1900</v>
      </c>
      <c r="H25" s="8">
        <f t="shared" si="0"/>
        <v>522500000</v>
      </c>
    </row>
    <row r="26" spans="1:8" x14ac:dyDescent="0.3">
      <c r="A26" t="s">
        <v>16</v>
      </c>
      <c r="B26">
        <v>2022</v>
      </c>
      <c r="C26" t="s">
        <v>6</v>
      </c>
      <c r="D26" t="s">
        <v>7</v>
      </c>
      <c r="E26" t="s">
        <v>8</v>
      </c>
      <c r="F26" s="6">
        <v>570000</v>
      </c>
      <c r="G26">
        <v>753</v>
      </c>
      <c r="H26" s="8">
        <f t="shared" si="0"/>
        <v>429210000</v>
      </c>
    </row>
    <row r="27" spans="1:8" x14ac:dyDescent="0.3">
      <c r="A27" t="s">
        <v>16</v>
      </c>
      <c r="B27">
        <v>2022</v>
      </c>
      <c r="C27" t="s">
        <v>9</v>
      </c>
      <c r="D27" t="s">
        <v>10</v>
      </c>
      <c r="E27" t="s">
        <v>8</v>
      </c>
      <c r="F27" s="6">
        <v>580000</v>
      </c>
      <c r="G27">
        <v>780</v>
      </c>
      <c r="H27" s="8">
        <f t="shared" si="0"/>
        <v>452400000</v>
      </c>
    </row>
    <row r="28" spans="1:8" x14ac:dyDescent="0.3">
      <c r="A28" t="s">
        <v>16</v>
      </c>
      <c r="B28">
        <v>2022</v>
      </c>
      <c r="C28" t="s">
        <v>11</v>
      </c>
      <c r="D28" t="s">
        <v>12</v>
      </c>
      <c r="E28" t="s">
        <v>8</v>
      </c>
      <c r="F28" s="6">
        <v>575000</v>
      </c>
      <c r="G28">
        <v>480</v>
      </c>
      <c r="H28" s="8">
        <f t="shared" si="0"/>
        <v>276000000</v>
      </c>
    </row>
    <row r="29" spans="1:8" x14ac:dyDescent="0.3">
      <c r="A29" t="s">
        <v>5</v>
      </c>
      <c r="B29">
        <v>2023</v>
      </c>
      <c r="C29" t="s">
        <v>6</v>
      </c>
      <c r="D29" t="s">
        <v>7</v>
      </c>
      <c r="E29" t="s">
        <v>8</v>
      </c>
      <c r="F29" s="6">
        <v>250000</v>
      </c>
      <c r="G29">
        <v>6087</v>
      </c>
      <c r="H29" s="8">
        <f t="shared" si="0"/>
        <v>1521750000</v>
      </c>
    </row>
    <row r="30" spans="1:8" x14ac:dyDescent="0.3">
      <c r="A30" t="s">
        <v>5</v>
      </c>
      <c r="B30">
        <v>2023</v>
      </c>
      <c r="C30" t="s">
        <v>9</v>
      </c>
      <c r="D30" t="s">
        <v>10</v>
      </c>
      <c r="E30" t="s">
        <v>8</v>
      </c>
      <c r="F30" s="6">
        <v>260000</v>
      </c>
      <c r="G30">
        <v>6200</v>
      </c>
      <c r="H30" s="8">
        <f t="shared" si="0"/>
        <v>1612000000</v>
      </c>
    </row>
    <row r="31" spans="1:8" x14ac:dyDescent="0.3">
      <c r="A31" t="s">
        <v>5</v>
      </c>
      <c r="B31">
        <v>2023</v>
      </c>
      <c r="C31" t="s">
        <v>11</v>
      </c>
      <c r="D31" t="s">
        <v>12</v>
      </c>
      <c r="E31" t="s">
        <v>8</v>
      </c>
      <c r="F31" s="6">
        <v>255000</v>
      </c>
      <c r="G31">
        <v>3100</v>
      </c>
      <c r="H31" s="8">
        <f t="shared" si="0"/>
        <v>790500000</v>
      </c>
    </row>
    <row r="32" spans="1:8" x14ac:dyDescent="0.3">
      <c r="A32" t="s">
        <v>13</v>
      </c>
      <c r="B32">
        <v>2023</v>
      </c>
      <c r="C32" t="s">
        <v>6</v>
      </c>
      <c r="D32" t="s">
        <v>14</v>
      </c>
      <c r="E32" t="s">
        <v>8</v>
      </c>
      <c r="F32" s="6">
        <v>280000</v>
      </c>
      <c r="G32">
        <v>3962</v>
      </c>
      <c r="H32" s="8">
        <f t="shared" si="0"/>
        <v>1109360000</v>
      </c>
    </row>
    <row r="33" spans="1:8" x14ac:dyDescent="0.3">
      <c r="A33" t="s">
        <v>13</v>
      </c>
      <c r="B33">
        <v>2023</v>
      </c>
      <c r="C33" t="s">
        <v>9</v>
      </c>
      <c r="D33" t="s">
        <v>15</v>
      </c>
      <c r="E33" t="s">
        <v>8</v>
      </c>
      <c r="F33" s="6">
        <v>290000</v>
      </c>
      <c r="G33">
        <v>4000</v>
      </c>
      <c r="H33" s="8">
        <f t="shared" si="0"/>
        <v>1160000000</v>
      </c>
    </row>
    <row r="34" spans="1:8" x14ac:dyDescent="0.3">
      <c r="A34" t="s">
        <v>13</v>
      </c>
      <c r="B34">
        <v>2023</v>
      </c>
      <c r="C34" t="s">
        <v>11</v>
      </c>
      <c r="D34" t="s">
        <v>7</v>
      </c>
      <c r="E34" t="s">
        <v>8</v>
      </c>
      <c r="F34" s="6">
        <v>285000</v>
      </c>
      <c r="G34">
        <v>2300</v>
      </c>
      <c r="H34" s="8">
        <f t="shared" si="0"/>
        <v>655500000</v>
      </c>
    </row>
    <row r="35" spans="1:8" x14ac:dyDescent="0.3">
      <c r="A35" t="s">
        <v>16</v>
      </c>
      <c r="B35">
        <v>2023</v>
      </c>
      <c r="C35" t="s">
        <v>6</v>
      </c>
      <c r="D35" t="s">
        <v>7</v>
      </c>
      <c r="E35" t="s">
        <v>8</v>
      </c>
      <c r="F35" s="6">
        <v>580000</v>
      </c>
      <c r="G35">
        <v>63</v>
      </c>
      <c r="H35" s="8">
        <f t="shared" si="0"/>
        <v>36540000</v>
      </c>
    </row>
    <row r="36" spans="1:8" x14ac:dyDescent="0.3">
      <c r="A36" t="s">
        <v>16</v>
      </c>
      <c r="B36">
        <v>2023</v>
      </c>
      <c r="C36" t="s">
        <v>9</v>
      </c>
      <c r="D36" t="s">
        <v>10</v>
      </c>
      <c r="E36" t="s">
        <v>8</v>
      </c>
      <c r="F36" s="6">
        <v>590000</v>
      </c>
      <c r="G36">
        <v>63</v>
      </c>
      <c r="H36" s="8">
        <f t="shared" si="0"/>
        <v>37170000</v>
      </c>
    </row>
    <row r="37" spans="1:8" x14ac:dyDescent="0.3">
      <c r="A37" t="s">
        <v>16</v>
      </c>
      <c r="B37">
        <v>2023</v>
      </c>
      <c r="C37" t="s">
        <v>11</v>
      </c>
      <c r="D37" t="s">
        <v>12</v>
      </c>
      <c r="E37" t="s">
        <v>8</v>
      </c>
      <c r="F37" s="6">
        <v>585000</v>
      </c>
      <c r="G37">
        <v>63</v>
      </c>
      <c r="H37" s="8">
        <f t="shared" si="0"/>
        <v>36855000</v>
      </c>
    </row>
    <row r="38" spans="1:8" x14ac:dyDescent="0.3">
      <c r="A38" t="s">
        <v>18</v>
      </c>
      <c r="B38">
        <v>2024</v>
      </c>
      <c r="C38" t="s">
        <v>6</v>
      </c>
      <c r="D38" t="s">
        <v>19</v>
      </c>
      <c r="E38" t="s">
        <v>20</v>
      </c>
      <c r="F38" s="6">
        <v>500000</v>
      </c>
      <c r="G38">
        <v>1406</v>
      </c>
      <c r="H38" s="8">
        <f t="shared" si="0"/>
        <v>703000000</v>
      </c>
    </row>
    <row r="39" spans="1:8" x14ac:dyDescent="0.3">
      <c r="A39" t="s">
        <v>18</v>
      </c>
      <c r="B39">
        <v>2024</v>
      </c>
      <c r="C39" t="s">
        <v>9</v>
      </c>
      <c r="D39" t="s">
        <v>10</v>
      </c>
      <c r="E39" t="s">
        <v>20</v>
      </c>
      <c r="F39" s="6">
        <v>520000</v>
      </c>
      <c r="G39">
        <v>1500</v>
      </c>
      <c r="H39" s="8">
        <f t="shared" si="0"/>
        <v>780000000</v>
      </c>
    </row>
    <row r="40" spans="1:8" x14ac:dyDescent="0.3">
      <c r="A40" t="s">
        <v>18</v>
      </c>
      <c r="B40">
        <v>2024</v>
      </c>
      <c r="C40" t="s">
        <v>11</v>
      </c>
      <c r="D40" t="s">
        <v>21</v>
      </c>
      <c r="E40" t="s">
        <v>20</v>
      </c>
      <c r="F40" s="6">
        <v>510000</v>
      </c>
      <c r="G40">
        <v>900</v>
      </c>
      <c r="H40" s="8">
        <f t="shared" si="0"/>
        <v>459000000</v>
      </c>
    </row>
    <row r="41" spans="1:8" x14ac:dyDescent="0.3">
      <c r="A41" t="s">
        <v>22</v>
      </c>
      <c r="B41">
        <v>2024</v>
      </c>
      <c r="C41" t="s">
        <v>6</v>
      </c>
      <c r="D41" t="s">
        <v>7</v>
      </c>
      <c r="E41" t="s">
        <v>20</v>
      </c>
      <c r="F41" s="6">
        <v>300000</v>
      </c>
      <c r="G41">
        <v>5662</v>
      </c>
      <c r="H41" s="8">
        <f t="shared" si="0"/>
        <v>1698600000</v>
      </c>
    </row>
    <row r="42" spans="1:8" x14ac:dyDescent="0.3">
      <c r="A42" t="s">
        <v>22</v>
      </c>
      <c r="B42">
        <v>2024</v>
      </c>
      <c r="C42" t="s">
        <v>9</v>
      </c>
      <c r="D42" t="s">
        <v>17</v>
      </c>
      <c r="E42" t="s">
        <v>20</v>
      </c>
      <c r="F42" s="6">
        <v>320000</v>
      </c>
      <c r="G42">
        <v>5800</v>
      </c>
      <c r="H42" s="8">
        <f t="shared" si="0"/>
        <v>1856000000</v>
      </c>
    </row>
    <row r="43" spans="1:8" x14ac:dyDescent="0.3">
      <c r="A43" t="s">
        <v>22</v>
      </c>
      <c r="B43">
        <v>2024</v>
      </c>
      <c r="C43" t="s">
        <v>11</v>
      </c>
      <c r="D43" t="s">
        <v>12</v>
      </c>
      <c r="E43" t="s">
        <v>20</v>
      </c>
      <c r="F43" s="6">
        <v>310000</v>
      </c>
      <c r="G43">
        <v>3150</v>
      </c>
      <c r="H43" s="8">
        <f t="shared" si="0"/>
        <v>976500000</v>
      </c>
    </row>
    <row r="44" spans="1:8" x14ac:dyDescent="0.3">
      <c r="A44" t="s">
        <v>13</v>
      </c>
      <c r="B44">
        <v>2024</v>
      </c>
      <c r="C44" t="s">
        <v>6</v>
      </c>
      <c r="D44" t="s">
        <v>14</v>
      </c>
      <c r="E44" t="s">
        <v>8</v>
      </c>
      <c r="F44" s="6">
        <v>290000</v>
      </c>
      <c r="G44">
        <v>3600</v>
      </c>
      <c r="H44" s="8">
        <f t="shared" si="0"/>
        <v>1044000000</v>
      </c>
    </row>
    <row r="45" spans="1:8" x14ac:dyDescent="0.3">
      <c r="A45" t="s">
        <v>13</v>
      </c>
      <c r="B45">
        <v>2024</v>
      </c>
      <c r="C45" t="s">
        <v>9</v>
      </c>
      <c r="D45" t="s">
        <v>15</v>
      </c>
      <c r="E45" t="s">
        <v>8</v>
      </c>
      <c r="F45" s="6">
        <v>300000</v>
      </c>
      <c r="G45">
        <v>3700</v>
      </c>
      <c r="H45" s="8">
        <f t="shared" si="0"/>
        <v>1110000000</v>
      </c>
    </row>
    <row r="46" spans="1:8" x14ac:dyDescent="0.3">
      <c r="A46" t="s">
        <v>13</v>
      </c>
      <c r="B46">
        <v>2024</v>
      </c>
      <c r="C46" t="s">
        <v>11</v>
      </c>
      <c r="D46" t="s">
        <v>7</v>
      </c>
      <c r="E46" t="s">
        <v>8</v>
      </c>
      <c r="F46" s="6">
        <v>295000</v>
      </c>
      <c r="G46">
        <v>2200</v>
      </c>
      <c r="H46" s="8">
        <f t="shared" si="0"/>
        <v>649000000</v>
      </c>
    </row>
    <row r="47" spans="1:8" x14ac:dyDescent="0.3">
      <c r="A47" t="s">
        <v>18</v>
      </c>
      <c r="B47">
        <v>2025</v>
      </c>
      <c r="C47" t="s">
        <v>6</v>
      </c>
      <c r="D47" t="s">
        <v>12</v>
      </c>
      <c r="E47" t="s">
        <v>20</v>
      </c>
      <c r="F47" s="6">
        <v>550000</v>
      </c>
      <c r="G47">
        <v>1700</v>
      </c>
      <c r="H47" s="8">
        <f t="shared" si="0"/>
        <v>935000000</v>
      </c>
    </row>
    <row r="48" spans="1:8" x14ac:dyDescent="0.3">
      <c r="A48" t="s">
        <v>18</v>
      </c>
      <c r="B48">
        <v>2025</v>
      </c>
      <c r="C48" t="s">
        <v>9</v>
      </c>
      <c r="D48" t="s">
        <v>19</v>
      </c>
      <c r="E48" t="s">
        <v>20</v>
      </c>
      <c r="F48" s="6">
        <v>570000</v>
      </c>
      <c r="G48">
        <v>1800</v>
      </c>
      <c r="H48" s="8">
        <f t="shared" si="0"/>
        <v>1026000000</v>
      </c>
    </row>
    <row r="49" spans="1:8" x14ac:dyDescent="0.3">
      <c r="A49" t="s">
        <v>18</v>
      </c>
      <c r="B49">
        <v>2025</v>
      </c>
      <c r="C49" t="s">
        <v>11</v>
      </c>
      <c r="D49" t="s">
        <v>7</v>
      </c>
      <c r="E49" t="s">
        <v>20</v>
      </c>
      <c r="F49" s="6">
        <v>560000</v>
      </c>
      <c r="G49">
        <v>1650</v>
      </c>
      <c r="H49" s="8">
        <f t="shared" si="0"/>
        <v>924000000</v>
      </c>
    </row>
    <row r="50" spans="1:8" x14ac:dyDescent="0.3">
      <c r="A50" t="s">
        <v>22</v>
      </c>
      <c r="B50">
        <v>2025</v>
      </c>
      <c r="C50" t="s">
        <v>6</v>
      </c>
      <c r="D50" t="s">
        <v>10</v>
      </c>
      <c r="E50" t="s">
        <v>20</v>
      </c>
      <c r="F50" s="6">
        <v>330000</v>
      </c>
      <c r="G50">
        <v>4650</v>
      </c>
      <c r="H50" s="8">
        <f t="shared" si="0"/>
        <v>1534500000</v>
      </c>
    </row>
    <row r="51" spans="1:8" x14ac:dyDescent="0.3">
      <c r="A51" t="s">
        <v>22</v>
      </c>
      <c r="B51">
        <v>2025</v>
      </c>
      <c r="C51" t="s">
        <v>9</v>
      </c>
      <c r="D51" t="s">
        <v>7</v>
      </c>
      <c r="E51" t="s">
        <v>20</v>
      </c>
      <c r="F51" s="6">
        <v>340000</v>
      </c>
      <c r="G51">
        <v>4800</v>
      </c>
      <c r="H51" s="8">
        <f t="shared" si="0"/>
        <v>1632000000</v>
      </c>
    </row>
    <row r="52" spans="1:8" x14ac:dyDescent="0.3">
      <c r="A52" t="s">
        <v>22</v>
      </c>
      <c r="B52">
        <v>2025</v>
      </c>
      <c r="C52" t="s">
        <v>11</v>
      </c>
      <c r="D52" t="s">
        <v>17</v>
      </c>
      <c r="E52" t="s">
        <v>20</v>
      </c>
      <c r="F52" s="6">
        <v>335000</v>
      </c>
      <c r="G52">
        <v>2750</v>
      </c>
      <c r="H52" s="8">
        <f t="shared" si="0"/>
        <v>921250000</v>
      </c>
    </row>
    <row r="53" spans="1:8" x14ac:dyDescent="0.3">
      <c r="A53" t="s">
        <v>23</v>
      </c>
      <c r="B53">
        <v>2025</v>
      </c>
      <c r="C53" t="s">
        <v>6</v>
      </c>
      <c r="D53" t="s">
        <v>24</v>
      </c>
      <c r="E53" t="s">
        <v>20</v>
      </c>
      <c r="F53" s="6">
        <v>380000</v>
      </c>
      <c r="G53">
        <v>1300</v>
      </c>
      <c r="H53" s="8">
        <f t="shared" si="0"/>
        <v>494000000</v>
      </c>
    </row>
    <row r="54" spans="1:8" x14ac:dyDescent="0.3">
      <c r="A54" t="s">
        <v>23</v>
      </c>
      <c r="B54">
        <v>2025</v>
      </c>
      <c r="C54" t="s">
        <v>9</v>
      </c>
      <c r="D54" t="s">
        <v>15</v>
      </c>
      <c r="E54" t="s">
        <v>20</v>
      </c>
      <c r="F54" s="6">
        <v>390000</v>
      </c>
      <c r="G54">
        <v>1400</v>
      </c>
      <c r="H54" s="8">
        <f t="shared" si="0"/>
        <v>546000000</v>
      </c>
    </row>
    <row r="55" spans="1:8" x14ac:dyDescent="0.3">
      <c r="A55" t="s">
        <v>23</v>
      </c>
      <c r="B55">
        <v>2025</v>
      </c>
      <c r="C55" t="s">
        <v>11</v>
      </c>
      <c r="D55" t="s">
        <v>10</v>
      </c>
      <c r="E55" t="s">
        <v>20</v>
      </c>
      <c r="F55" s="6">
        <v>385000</v>
      </c>
      <c r="G55">
        <v>1150</v>
      </c>
      <c r="H55" s="8">
        <f t="shared" si="0"/>
        <v>442750000</v>
      </c>
    </row>
    <row r="56" spans="1:8" x14ac:dyDescent="0.3">
      <c r="H56" s="7"/>
    </row>
    <row r="57" spans="1:8" x14ac:dyDescent="0.3">
      <c r="H57" s="7"/>
    </row>
    <row r="58" spans="1:8" x14ac:dyDescent="0.3">
      <c r="H58" s="7"/>
    </row>
    <row r="59" spans="1:8" x14ac:dyDescent="0.3">
      <c r="H59" s="7"/>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zoomScale="118" workbookViewId="0">
      <selection activeCell="B1" sqref="B1:E1"/>
    </sheetView>
  </sheetViews>
  <sheetFormatPr defaultRowHeight="14.4" x14ac:dyDescent="0.3"/>
  <cols>
    <col min="1" max="1" width="12.5546875" bestFit="1" customWidth="1"/>
    <col min="2" max="2" width="16.6640625" bestFit="1" customWidth="1"/>
    <col min="3" max="3" width="16.5546875" bestFit="1" customWidth="1"/>
    <col min="4" max="4" width="12.5546875" bestFit="1" customWidth="1"/>
    <col min="5" max="5" width="16.44140625" bestFit="1" customWidth="1"/>
    <col min="6" max="7" width="5" bestFit="1" customWidth="1"/>
    <col min="8" max="8" width="10.77734375" bestFit="1" customWidth="1"/>
    <col min="9" max="12" width="4" bestFit="1" customWidth="1"/>
    <col min="13" max="50" width="5" bestFit="1" customWidth="1"/>
    <col min="51" max="51" width="10.77734375" bestFit="1" customWidth="1"/>
  </cols>
  <sheetData>
    <row r="1" spans="1:5" x14ac:dyDescent="0.3">
      <c r="B1" s="5" t="s">
        <v>35</v>
      </c>
      <c r="C1" s="5"/>
      <c r="D1" s="5"/>
      <c r="E1" s="5"/>
    </row>
    <row r="3" spans="1:5" x14ac:dyDescent="0.3">
      <c r="A3" s="1" t="s">
        <v>25</v>
      </c>
      <c r="B3" t="s">
        <v>29</v>
      </c>
    </row>
    <row r="4" spans="1:5" x14ac:dyDescent="0.3">
      <c r="A4" s="2">
        <v>2020</v>
      </c>
      <c r="B4" s="3">
        <v>20250</v>
      </c>
    </row>
    <row r="5" spans="1:5" x14ac:dyDescent="0.3">
      <c r="A5" s="2">
        <v>2021</v>
      </c>
      <c r="B5" s="3">
        <v>21925</v>
      </c>
    </row>
    <row r="6" spans="1:5" x14ac:dyDescent="0.3">
      <c r="A6" s="2">
        <v>2022</v>
      </c>
      <c r="B6" s="3">
        <v>24243</v>
      </c>
    </row>
    <row r="7" spans="1:5" x14ac:dyDescent="0.3">
      <c r="A7" s="2">
        <v>2023</v>
      </c>
      <c r="B7" s="3">
        <v>25838</v>
      </c>
    </row>
    <row r="8" spans="1:5" x14ac:dyDescent="0.3">
      <c r="A8" s="2">
        <v>2024</v>
      </c>
      <c r="B8" s="3">
        <v>27918</v>
      </c>
    </row>
    <row r="9" spans="1:5" x14ac:dyDescent="0.3">
      <c r="A9" s="2">
        <v>2025</v>
      </c>
      <c r="B9" s="3">
        <v>21200</v>
      </c>
    </row>
  </sheetData>
  <mergeCells count="1">
    <mergeCell ref="B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election activeCell="F13" sqref="F13"/>
    </sheetView>
  </sheetViews>
  <sheetFormatPr defaultRowHeight="14.4" x14ac:dyDescent="0.3"/>
  <cols>
    <col min="1" max="1" width="12.5546875" bestFit="1" customWidth="1"/>
    <col min="2" max="2" width="16.44140625" bestFit="1" customWidth="1"/>
    <col min="3" max="3" width="4.6640625" bestFit="1" customWidth="1"/>
    <col min="4" max="4" width="6" bestFit="1" customWidth="1"/>
    <col min="5" max="5" width="4.88671875" bestFit="1" customWidth="1"/>
    <col min="6" max="6" width="7.109375" bestFit="1" customWidth="1"/>
    <col min="7" max="7" width="4.21875" bestFit="1" customWidth="1"/>
    <col min="8" max="8" width="5.5546875" bestFit="1" customWidth="1"/>
    <col min="9" max="9" width="6" bestFit="1" customWidth="1"/>
    <col min="10" max="10" width="6.44140625" bestFit="1" customWidth="1"/>
    <col min="11" max="11" width="10.77734375" bestFit="1" customWidth="1"/>
    <col min="12" max="12" width="6.5546875" bestFit="1" customWidth="1"/>
    <col min="13" max="13" width="11.77734375" bestFit="1" customWidth="1"/>
    <col min="14" max="14" width="8.109375" bestFit="1" customWidth="1"/>
    <col min="15" max="15" width="6.5546875" bestFit="1" customWidth="1"/>
    <col min="16" max="16" width="8.88671875" bestFit="1" customWidth="1"/>
    <col min="17" max="17" width="8.109375" bestFit="1" customWidth="1"/>
    <col min="18" max="18" width="6.5546875" bestFit="1" customWidth="1"/>
    <col min="19" max="19" width="10.21875" bestFit="1" customWidth="1"/>
    <col min="20" max="20" width="8.109375" bestFit="1" customWidth="1"/>
    <col min="21" max="21" width="6.5546875" bestFit="1" customWidth="1"/>
    <col min="22" max="22" width="10.6640625" bestFit="1" customWidth="1"/>
    <col min="23" max="23" width="8.44140625" bestFit="1" customWidth="1"/>
    <col min="24" max="24" width="11.109375" bestFit="1" customWidth="1"/>
    <col min="25" max="25" width="10.77734375" bestFit="1" customWidth="1"/>
    <col min="26" max="35" width="15.5546875" bestFit="1" customWidth="1"/>
    <col min="36" max="37" width="10.77734375" bestFit="1" customWidth="1"/>
  </cols>
  <sheetData>
    <row r="1" spans="1:12" x14ac:dyDescent="0.3">
      <c r="B1" s="5" t="s">
        <v>31</v>
      </c>
      <c r="C1" s="5"/>
      <c r="D1" s="5"/>
      <c r="E1" s="5"/>
      <c r="F1" s="5"/>
      <c r="G1" s="5"/>
      <c r="H1" s="5"/>
      <c r="I1" s="5"/>
      <c r="J1" s="5"/>
      <c r="K1" s="5"/>
      <c r="L1" s="5"/>
    </row>
    <row r="3" spans="1:12" x14ac:dyDescent="0.3">
      <c r="A3" s="1" t="s">
        <v>25</v>
      </c>
      <c r="B3" t="s">
        <v>29</v>
      </c>
    </row>
    <row r="4" spans="1:12" x14ac:dyDescent="0.3">
      <c r="A4" s="2" t="s">
        <v>9</v>
      </c>
      <c r="B4" s="9">
        <v>0.39372869127279414</v>
      </c>
    </row>
    <row r="5" spans="1:12" x14ac:dyDescent="0.3">
      <c r="A5" s="2" t="s">
        <v>11</v>
      </c>
      <c r="B5" s="9">
        <v>0.2266541231060874</v>
      </c>
    </row>
    <row r="6" spans="1:12" x14ac:dyDescent="0.3">
      <c r="A6" s="2" t="s">
        <v>6</v>
      </c>
      <c r="B6" s="9">
        <v>0.37961718562111846</v>
      </c>
    </row>
  </sheetData>
  <mergeCells count="1">
    <mergeCell ref="B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B1" sqref="B1:G1"/>
    </sheetView>
  </sheetViews>
  <sheetFormatPr defaultRowHeight="14.4" x14ac:dyDescent="0.3"/>
  <cols>
    <col min="1" max="1" width="18.77734375" bestFit="1" customWidth="1"/>
    <col min="2" max="2" width="19.88671875" bestFit="1" customWidth="1"/>
  </cols>
  <sheetData>
    <row r="1" spans="1:7" x14ac:dyDescent="0.3">
      <c r="B1" s="5" t="s">
        <v>34</v>
      </c>
      <c r="C1" s="5"/>
      <c r="D1" s="5"/>
      <c r="E1" s="5"/>
      <c r="F1" s="5"/>
      <c r="G1" s="5"/>
    </row>
    <row r="3" spans="1:7" x14ac:dyDescent="0.3">
      <c r="A3" s="1" t="s">
        <v>25</v>
      </c>
      <c r="B3" t="s">
        <v>33</v>
      </c>
    </row>
    <row r="4" spans="1:7" x14ac:dyDescent="0.3">
      <c r="A4" s="2" t="s">
        <v>23</v>
      </c>
      <c r="B4" s="8">
        <v>1482750000</v>
      </c>
    </row>
    <row r="5" spans="1:7" x14ac:dyDescent="0.3">
      <c r="A5" s="2" t="s">
        <v>16</v>
      </c>
      <c r="B5" s="8">
        <v>3380955000</v>
      </c>
    </row>
    <row r="6" spans="1:7" x14ac:dyDescent="0.3">
      <c r="A6" s="2" t="s">
        <v>18</v>
      </c>
      <c r="B6" s="8">
        <v>4827000000</v>
      </c>
    </row>
    <row r="7" spans="1:7" x14ac:dyDescent="0.3">
      <c r="A7" s="2" t="s">
        <v>22</v>
      </c>
      <c r="B7" s="8">
        <v>8618850000</v>
      </c>
    </row>
    <row r="8" spans="1:7" x14ac:dyDescent="0.3">
      <c r="A8" s="2" t="s">
        <v>13</v>
      </c>
      <c r="B8" s="8">
        <v>11602560000</v>
      </c>
    </row>
    <row r="9" spans="1:7" x14ac:dyDescent="0.3">
      <c r="A9" s="2" t="s">
        <v>5</v>
      </c>
      <c r="B9" s="8">
        <v>13277465000</v>
      </c>
    </row>
    <row r="10" spans="1:7" x14ac:dyDescent="0.3">
      <c r="A10" s="2" t="s">
        <v>26</v>
      </c>
      <c r="B10" s="8">
        <v>43189580000</v>
      </c>
    </row>
  </sheetData>
  <mergeCells count="1">
    <mergeCell ref="B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D6" sqref="D6"/>
    </sheetView>
  </sheetViews>
  <sheetFormatPr defaultRowHeight="14.4" x14ac:dyDescent="0.3"/>
  <cols>
    <col min="1" max="1" width="12.5546875" bestFit="1" customWidth="1"/>
    <col min="2" max="2" width="16.44140625" bestFit="1" customWidth="1"/>
  </cols>
  <sheetData>
    <row r="3" spans="1:2" x14ac:dyDescent="0.3">
      <c r="A3" s="1" t="s">
        <v>25</v>
      </c>
      <c r="B3" t="s">
        <v>29</v>
      </c>
    </row>
    <row r="4" spans="1:2" x14ac:dyDescent="0.3">
      <c r="A4" s="2" t="s">
        <v>8</v>
      </c>
      <c r="B4" s="3">
        <v>101756</v>
      </c>
    </row>
    <row r="5" spans="1:2" x14ac:dyDescent="0.3">
      <c r="A5" s="2" t="s">
        <v>20</v>
      </c>
      <c r="B5" s="3">
        <v>39618</v>
      </c>
    </row>
    <row r="6" spans="1:2" x14ac:dyDescent="0.3">
      <c r="A6" s="2" t="s">
        <v>26</v>
      </c>
      <c r="B6" s="3">
        <v>141374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
  <sheetViews>
    <sheetView showGridLines="0" zoomScale="90" zoomScaleNormal="90" workbookViewId="0">
      <selection activeCell="U7" sqref="U7"/>
    </sheetView>
  </sheetViews>
  <sheetFormatPr defaultRowHeight="14.4" x14ac:dyDescent="0.3"/>
  <sheetData>
    <row r="1" spans="1:36" ht="21" x14ac:dyDescent="0.4">
      <c r="A1" s="4" t="s">
        <v>30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row>
  </sheetData>
  <mergeCells count="2">
    <mergeCell ref="A1:R1"/>
    <mergeCell ref="S1:AJ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lamborghini_sales_2020_2025</vt:lpstr>
      <vt:lpstr>pivot1</vt:lpstr>
      <vt:lpstr>pivot2</vt:lpstr>
      <vt:lpstr>pivot3</vt:lpstr>
      <vt:lpstr>pivot4</vt:lpstr>
      <vt:lpstr>Rpoert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Sushant Shelke</dc:creator>
  <cp:lastModifiedBy>Sushant Shelke</cp:lastModifiedBy>
  <dcterms:created xsi:type="dcterms:W3CDTF">2026-02-17T10:37:49Z</dcterms:created>
  <dcterms:modified xsi:type="dcterms:W3CDTF">2026-02-17T10:37:49Z</dcterms:modified>
</cp:coreProperties>
</file>